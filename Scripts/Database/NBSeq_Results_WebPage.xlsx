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mengliao/Documents/Project/20250710_FamilyRisk/Webpage/app/"/>
    </mc:Choice>
  </mc:AlternateContent>
  <xr:revisionPtr revIDLastSave="0" documentId="13_ncr:1_{5157DBD6-F874-284F-9C92-BF7A0259FE52}" xr6:coauthVersionLast="47" xr6:coauthVersionMax="47" xr10:uidLastSave="{00000000-0000-0000-0000-000000000000}"/>
  <bookViews>
    <workbookView xWindow="0" yWindow="500" windowWidth="38400" windowHeight="21100" xr2:uid="{B9CDD337-D219-164E-AF3D-50A1B615F02B}"/>
  </bookViews>
  <sheets>
    <sheet name="All-Positive" sheetId="1" r:id="rId1"/>
    <sheet name="Positive-rates" sheetId="15" r:id="rId2"/>
    <sheet name="All-Carrier" sheetId="14" r:id="rId3"/>
    <sheet name="BabySeq Positives" sheetId="17" r:id="rId4"/>
    <sheet name="EarlyCheck Positives" sheetId="5" r:id="rId5"/>
    <sheet name="Guardian Positives" sheetId="6" r:id="rId6"/>
    <sheet name="BabyDetect Positives" sheetId="2" r:id="rId7"/>
    <sheet name="BabyScreen+ Positives" sheetId="18" r:id="rId8"/>
    <sheet name="BabySeq Carriers" sheetId="9" r:id="rId9"/>
    <sheet name="EarlyCheck Carriers" sheetId="13" r:id="rId10"/>
  </sheets>
  <definedNames>
    <definedName name="_xlnm._FilterDatabase" localSheetId="0" hidden="1">'All-Positive'!$C$1:$C$73</definedName>
    <definedName name="_xlnm._FilterDatabase" localSheetId="3" hidden="1">'BabySeq Positives'!$C$1:$C$13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1" l="1"/>
  <c r="E94" i="1"/>
  <c r="E93" i="1"/>
  <c r="E15" i="18"/>
  <c r="E3" i="18"/>
  <c r="E2" i="18"/>
  <c r="B6" i="15"/>
  <c r="B3" i="15"/>
</calcChain>
</file>

<file path=xl/sharedStrings.xml><?xml version="1.0" encoding="utf-8"?>
<sst xmlns="http://schemas.openxmlformats.org/spreadsheetml/2006/main" count="5859" uniqueCount="1328">
  <si>
    <t>Gene</t>
  </si>
  <si>
    <t>G6PD deficiency</t>
  </si>
  <si>
    <t>G6PD</t>
  </si>
  <si>
    <t>c.1450C&gt;T</t>
  </si>
  <si>
    <t>c.494A&gt;C</t>
  </si>
  <si>
    <t>c.653C&gt;T</t>
  </si>
  <si>
    <t>Biotinidase deficiency</t>
  </si>
  <si>
    <t>BTD</t>
  </si>
  <si>
    <t>Cystic fibrosis</t>
  </si>
  <si>
    <t>CFTR</t>
  </si>
  <si>
    <t>Mild phenylketonuria</t>
  </si>
  <si>
    <t>PAH</t>
  </si>
  <si>
    <t>c.934G&gt;C</t>
  </si>
  <si>
    <t>Short-chain acyl-CoA dehydrogenase deficiency</t>
  </si>
  <si>
    <t>ACADS</t>
  </si>
  <si>
    <t>CPT2 deficiency</t>
  </si>
  <si>
    <t>CPT2</t>
  </si>
  <si>
    <t>Hemophilia A</t>
  </si>
  <si>
    <t>F8</t>
  </si>
  <si>
    <t>c.396A&gt;C</t>
  </si>
  <si>
    <t>c.6089G&gt;A</t>
  </si>
  <si>
    <t>Hemophilia B</t>
  </si>
  <si>
    <t>F9</t>
  </si>
  <si>
    <t>c.1345C&gt;T</t>
  </si>
  <si>
    <t>c.1024A&gt;G</t>
  </si>
  <si>
    <t>Familial exudative vitreoretinopathy</t>
  </si>
  <si>
    <t>FZD4</t>
  </si>
  <si>
    <t>c.313A&gt;G</t>
  </si>
  <si>
    <t>Maturity-onset diabetes of the young 13</t>
  </si>
  <si>
    <t>KCNJ11</t>
  </si>
  <si>
    <t>c.902G&gt;A</t>
  </si>
  <si>
    <t>Cardiomyopathy, hypertrophic, 4</t>
  </si>
  <si>
    <t>MYBPC3</t>
  </si>
  <si>
    <t>c.3407_3409delACT</t>
  </si>
  <si>
    <t>c.2618C&gt;T</t>
  </si>
  <si>
    <t>Cardiomyopathy, dilated 1S</t>
  </si>
  <si>
    <t>MYH7</t>
  </si>
  <si>
    <t>c.4498C&gt;T</t>
  </si>
  <si>
    <t>c.1750G&gt;A</t>
  </si>
  <si>
    <t>c.2572C&gt;T</t>
  </si>
  <si>
    <t>c.1370T&gt;C</t>
  </si>
  <si>
    <t>Shwachman–Diamond syndrome</t>
  </si>
  <si>
    <t>SBDS</t>
  </si>
  <si>
    <t>Glycogen storage disease 1b/c</t>
  </si>
  <si>
    <t>SLC37A4</t>
  </si>
  <si>
    <t>Transcript</t>
  </si>
  <si>
    <t>Protein</t>
  </si>
  <si>
    <t>Project</t>
  </si>
  <si>
    <t>BabyDetect</t>
  </si>
  <si>
    <t>c.1015G&gt;T</t>
  </si>
  <si>
    <t>c.258+2T&gt;C</t>
  </si>
  <si>
    <t>c.1865G&gt;A</t>
  </si>
  <si>
    <t>c.1339C&gt;T</t>
  </si>
  <si>
    <t>c.1436A&gt;T</t>
  </si>
  <si>
    <t>c.596C&gt;T</t>
  </si>
  <si>
    <t>c.1147C&gt;T</t>
  </si>
  <si>
    <t>c.1093G&gt;A</t>
  </si>
  <si>
    <t>c.1058T&gt;C</t>
  </si>
  <si>
    <t>c.1270G&gt;C</t>
  </si>
  <si>
    <t>c.1308A&gt;C</t>
  </si>
  <si>
    <t>c.535G&gt;A</t>
  </si>
  <si>
    <t>c.1521_1523delCTT</t>
  </si>
  <si>
    <t>c.2657+5G&gt;A</t>
  </si>
  <si>
    <t>c.1222C&gt;T</t>
  </si>
  <si>
    <t>c.688G&gt;A</t>
  </si>
  <si>
    <t>c.292G&gt;A</t>
  </si>
  <si>
    <t>c.466A&gt;G</t>
  </si>
  <si>
    <t>Positive</t>
  </si>
  <si>
    <t>Allele Count</t>
  </si>
  <si>
    <t>Allele Freuqency</t>
  </si>
  <si>
    <t>Type</t>
  </si>
  <si>
    <t>Genes</t>
  </si>
  <si>
    <t>Variation</t>
  </si>
  <si>
    <t xml:space="preserve">c.8297delC </t>
  </si>
  <si>
    <t>hereditary breast and ovarian cancer</t>
  </si>
  <si>
    <t>BTD </t>
  </si>
  <si>
    <t>c.44+1G&gt;A</t>
  </si>
  <si>
    <t>biotinidase deficiency</t>
  </si>
  <si>
    <t>c.1612C&gt;T</t>
  </si>
  <si>
    <t>CD46 </t>
  </si>
  <si>
    <t xml:space="preserve">c.286+2T&gt;G </t>
  </si>
  <si>
    <t>atypical hemolytic-uremic syndrome</t>
  </si>
  <si>
    <t>ELN </t>
  </si>
  <si>
    <t xml:space="preserve">c.1957G&gt;T </t>
  </si>
  <si>
    <t>supravalvular aortic stenosis</t>
  </si>
  <si>
    <t>KCNQ4 </t>
  </si>
  <si>
    <t xml:space="preserve">c.1671_1672insACGAC </t>
  </si>
  <si>
    <t>non-syndromic hearing loss</t>
  </si>
  <si>
    <t>MYBPC3 </t>
  </si>
  <si>
    <t xml:space="preserve">c.1624G&gt;C </t>
  </si>
  <si>
    <t>hypertrophic cardiomyopathy</t>
  </si>
  <si>
    <t>TTN </t>
  </si>
  <si>
    <t xml:space="preserve">c.34894_34895insG </t>
  </si>
  <si>
    <t>dilated cardiomyopathy</t>
  </si>
  <si>
    <t xml:space="preserve">c.12344delC </t>
  </si>
  <si>
    <t xml:space="preserve">c.54172C&gt;T </t>
  </si>
  <si>
    <t xml:space="preserve">c.64276_64282delinsTA </t>
  </si>
  <si>
    <t>VCL </t>
  </si>
  <si>
    <t xml:space="preserve">c.1713delA </t>
  </si>
  <si>
    <t>Allele Frequency</t>
  </si>
  <si>
    <t>BabySeq</t>
  </si>
  <si>
    <t>OTC</t>
  </si>
  <si>
    <t>OTC deficiency</t>
  </si>
  <si>
    <t xml:space="preserve">c.1061T&gt;G </t>
  </si>
  <si>
    <t>p.Phe354Cys</t>
  </si>
  <si>
    <t>LDLR</t>
  </si>
  <si>
    <t>familial hypercholesterolemia</t>
  </si>
  <si>
    <t xml:space="preserve">c.502G&gt;A </t>
  </si>
  <si>
    <t>p.Asp168Asn</t>
  </si>
  <si>
    <t>F11</t>
  </si>
  <si>
    <t>factor XI deficiency</t>
  </si>
  <si>
    <t xml:space="preserve">c.1489C&gt;T </t>
  </si>
  <si>
    <t>p.Arg497∗</t>
  </si>
  <si>
    <t xml:space="preserve"> c.1608G&gt;C </t>
  </si>
  <si>
    <t>p.Lys536Asn</t>
  </si>
  <si>
    <t>DSC2</t>
  </si>
  <si>
    <t>arrhythmogenic right ventricular dysplasia (ARVD11)</t>
  </si>
  <si>
    <t xml:space="preserve">c.631−2A&gt;G </t>
  </si>
  <si>
    <t>OCRL</t>
  </si>
  <si>
    <t>Lowe syndrome</t>
  </si>
  <si>
    <t>c.741G&gt;A</t>
  </si>
  <si>
    <t>RAD51C</t>
  </si>
  <si>
    <t xml:space="preserve">ovarian cancer </t>
  </si>
  <si>
    <t xml:space="preserve">c.905- 2_905-1del </t>
  </si>
  <si>
    <t>BRCA2</t>
  </si>
  <si>
    <t>c.7480C&gt;T</t>
  </si>
  <si>
    <t>p.Arg2494*</t>
  </si>
  <si>
    <t>p.Trp247*</t>
  </si>
  <si>
    <t xml:space="preserve">p.Thr2766Asnfs*11 </t>
  </si>
  <si>
    <t>p.Arg538Cys</t>
  </si>
  <si>
    <t xml:space="preserve">p.Gly653* </t>
  </si>
  <si>
    <t xml:space="preserve">p.Val558Thrfs*3 </t>
  </si>
  <si>
    <t>p.Glu542Gln</t>
  </si>
  <si>
    <t>p.Met11632Serfs*8</t>
  </si>
  <si>
    <t>p.Pro4115Glnfs*14</t>
  </si>
  <si>
    <t>p.Arg18058*</t>
  </si>
  <si>
    <t>p.Ala21426*</t>
  </si>
  <si>
    <t xml:space="preserve">p.Ala573Hisfs*8 </t>
  </si>
  <si>
    <t>EarlyCheck</t>
  </si>
  <si>
    <t>Glucose-6-phosphate dehydrogenase deficiency</t>
  </si>
  <si>
    <t>c.202G&gt;A</t>
  </si>
  <si>
    <t>p.Val68Met</t>
  </si>
  <si>
    <t>c.376A&gt;G</t>
  </si>
  <si>
    <t>p.Asn126Asp</t>
  </si>
  <si>
    <t xml:space="preserve">c.968T&gt;C </t>
  </si>
  <si>
    <t>p.Leu323Pro</t>
  </si>
  <si>
    <t xml:space="preserve">c.542A&gt;T </t>
  </si>
  <si>
    <t>p.Asp181Val</t>
  </si>
  <si>
    <t xml:space="preserve">c.1388G&gt;A </t>
  </si>
  <si>
    <t>p.Arg463His</t>
  </si>
  <si>
    <t xml:space="preserve">c.137G&gt;T </t>
  </si>
  <si>
    <t>p.Arg459Leu</t>
  </si>
  <si>
    <t xml:space="preserve">c.143T&gt;C </t>
  </si>
  <si>
    <t>p.Ile48Thr</t>
  </si>
  <si>
    <t xml:space="preserve">c.487G&gt;A </t>
  </si>
  <si>
    <t>p.Gly163Ser</t>
  </si>
  <si>
    <t xml:space="preserve">c.563C&gt;T </t>
  </si>
  <si>
    <t>p.Ser188Phe</t>
  </si>
  <si>
    <t xml:space="preserve">c.844G&gt;C </t>
  </si>
  <si>
    <t>p.Asp282His</t>
  </si>
  <si>
    <t>c.1360C&gt;T</t>
  </si>
  <si>
    <t>p.Arg454Cys</t>
  </si>
  <si>
    <t>FGFR3</t>
  </si>
  <si>
    <t xml:space="preserve">Achondroplasia </t>
  </si>
  <si>
    <t>c.1138G&gt;A</t>
  </si>
  <si>
    <t>p.Gly380Arg</t>
  </si>
  <si>
    <t>FGFR3-related skeletal dysplasia</t>
  </si>
  <si>
    <t>c.1619A&gt;G</t>
  </si>
  <si>
    <t>p.Asn540Ser</t>
  </si>
  <si>
    <t>GJB2</t>
  </si>
  <si>
    <t xml:space="preserve">Hearing loss </t>
  </si>
  <si>
    <t>c.35del</t>
  </si>
  <si>
    <t>p.Gly12Val</t>
  </si>
  <si>
    <t>c.94C&gt;T</t>
  </si>
  <si>
    <t>p.Arg32Cys</t>
  </si>
  <si>
    <t>c.109G&gt;A</t>
  </si>
  <si>
    <t>p.Val37Ile</t>
  </si>
  <si>
    <t>c.416G&gt;A</t>
  </si>
  <si>
    <t>p.Ser139Asn</t>
  </si>
  <si>
    <t>c.235del</t>
  </si>
  <si>
    <t>p.Leu79Cys</t>
  </si>
  <si>
    <t>c.167del</t>
  </si>
  <si>
    <t>p.Leu56?</t>
  </si>
  <si>
    <t>c.101T&gt;C</t>
  </si>
  <si>
    <t>p.Met34Thr</t>
  </si>
  <si>
    <t xml:space="preserve">ATP7B </t>
  </si>
  <si>
    <t>Wilson disease</t>
  </si>
  <si>
    <t>c.2930C&gt;T</t>
  </si>
  <si>
    <t>p.Thr977Met</t>
  </si>
  <si>
    <t>c.122A&gt;G</t>
  </si>
  <si>
    <t>p.Asn41Ser</t>
  </si>
  <si>
    <t>ACADM</t>
  </si>
  <si>
    <t xml:space="preserve">Deficiency of medium chain Acyl-CoA dehydrogenas e </t>
  </si>
  <si>
    <t>c.600-18G&gt;A</t>
  </si>
  <si>
    <t>c.443G&gt;A</t>
  </si>
  <si>
    <t>p.Arg148Lys</t>
  </si>
  <si>
    <t xml:space="preserve">IL2RG </t>
  </si>
  <si>
    <t xml:space="preserve">IL2RG-related immune dysregulation disorder </t>
  </si>
  <si>
    <t>c.664C&gt;A</t>
  </si>
  <si>
    <t>p.Arg222Ser</t>
  </si>
  <si>
    <t>KCNH2</t>
  </si>
  <si>
    <t>KCNH2-related long QT syndrome</t>
  </si>
  <si>
    <t>c.3172dup</t>
  </si>
  <si>
    <t>p.Ala1058Gly</t>
  </si>
  <si>
    <t>KCNQ1</t>
  </si>
  <si>
    <t xml:space="preserve">KCNQ1-related long QT syndrome </t>
  </si>
  <si>
    <t>c.1031C&gt;T</t>
  </si>
  <si>
    <t>p.Ala344Val</t>
  </si>
  <si>
    <t>PAX8</t>
  </si>
  <si>
    <t xml:space="preserve">PAX8-related hypothyroidis m </t>
  </si>
  <si>
    <t>c.398G&gt;A</t>
  </si>
  <si>
    <t>p.Arg133Gln</t>
  </si>
  <si>
    <t>ARID1B</t>
  </si>
  <si>
    <t xml:space="preserve">ARID1B-related neurodevelop mental disorder </t>
  </si>
  <si>
    <t>c.4110+1G&gt;T</t>
  </si>
  <si>
    <t xml:space="preserve">AUTS2 </t>
  </si>
  <si>
    <t xml:space="preserve">AUTS2-related neurodevelop mental disorder </t>
  </si>
  <si>
    <t>Deletion including exon 6 to 14</t>
  </si>
  <si>
    <t xml:space="preserve">CDKL5 </t>
  </si>
  <si>
    <t xml:space="preserve">CDKL5-related epileptic encephalopath y </t>
  </si>
  <si>
    <t>c.2357_2360del</t>
  </si>
  <si>
    <t>p.Lys786Arg</t>
  </si>
  <si>
    <t>KAT6A</t>
  </si>
  <si>
    <t xml:space="preserve">KAT6A Syndrome </t>
  </si>
  <si>
    <t>c.825+2T&gt;C</t>
  </si>
  <si>
    <t>MECP2</t>
  </si>
  <si>
    <t>Rett syndrome</t>
  </si>
  <si>
    <t>c.1100_1161delinsCGTG</t>
  </si>
  <si>
    <t>p.His367Pro</t>
  </si>
  <si>
    <t xml:space="preserve">TRIO </t>
  </si>
  <si>
    <t xml:space="preserve">TRIO-related neurodevelop mental disorder </t>
  </si>
  <si>
    <t>c.3872G&gt;A</t>
  </si>
  <si>
    <t>p.Arg1291His</t>
  </si>
  <si>
    <t>HBB</t>
  </si>
  <si>
    <t xml:space="preserve">Sickle cell disease </t>
  </si>
  <si>
    <t>c.20A&gt;T</t>
  </si>
  <si>
    <t>p.Glu7Val</t>
  </si>
  <si>
    <t>c.19G&gt;A</t>
  </si>
  <si>
    <t>Short-chain acyl-CoA dehydrogenas e deficiency</t>
  </si>
  <si>
    <t>c.319C&gt;T</t>
  </si>
  <si>
    <t>p.Arg107Cys</t>
  </si>
  <si>
    <t>Guardian</t>
  </si>
  <si>
    <t>positive</t>
  </si>
  <si>
    <t>HFE</t>
  </si>
  <si>
    <t xml:space="preserve">hemochromatosis </t>
  </si>
  <si>
    <t>c.845G&gt;A</t>
  </si>
  <si>
    <t xml:space="preserve">hecystic fibrosis </t>
  </si>
  <si>
    <t>c.1521_1523del</t>
  </si>
  <si>
    <t>GUSB</t>
  </si>
  <si>
    <t xml:space="preserve">mucopolysaccharidosis VII </t>
  </si>
  <si>
    <t>c.1069C&gt;T</t>
  </si>
  <si>
    <t>AGK</t>
  </si>
  <si>
    <t xml:space="preserve">Sengers syndrome </t>
  </si>
  <si>
    <t>c.523_524del</t>
  </si>
  <si>
    <t>SIL1</t>
  </si>
  <si>
    <t>c.645+2T&gt;C</t>
  </si>
  <si>
    <t>CYP21A2</t>
  </si>
  <si>
    <t>SLC26A4</t>
  </si>
  <si>
    <t>c.2015G&gt;A</t>
  </si>
  <si>
    <t>SERPINA1</t>
  </si>
  <si>
    <t>c.1096G&gt;A</t>
  </si>
  <si>
    <t>c.985A&gt;G</t>
  </si>
  <si>
    <t>HPS3</t>
  </si>
  <si>
    <t>c.1682_1683del</t>
  </si>
  <si>
    <t>RNASEH2B</t>
  </si>
  <si>
    <t>c.2T&gt;C</t>
  </si>
  <si>
    <t>RBM8A</t>
  </si>
  <si>
    <t xml:space="preserve">thrombocytopenia- absent radius (TAR) syndrome </t>
  </si>
  <si>
    <t>n.500C&gt;T</t>
  </si>
  <si>
    <t>c.-21G&gt;A</t>
  </si>
  <si>
    <t>c.187C&gt;G</t>
  </si>
  <si>
    <t>SMARCAL1</t>
  </si>
  <si>
    <t xml:space="preserve">Fanconi anemia </t>
  </si>
  <si>
    <t>c.2542G&gt;T</t>
  </si>
  <si>
    <t>TYR</t>
  </si>
  <si>
    <t xml:space="preserve">Schimke immune- osseous dysplasia </t>
  </si>
  <si>
    <t>c.1217C&gt;T</t>
  </si>
  <si>
    <t xml:space="preserve">Alpha 1 antitrypsin deficiency </t>
  </si>
  <si>
    <t>AARS2</t>
  </si>
  <si>
    <t xml:space="preserve">combined oxidative phosphorylation deficiency </t>
  </si>
  <si>
    <t xml:space="preserve">alpha-1 antitrypsin deficiency </t>
  </si>
  <si>
    <t>c.863A&gt;T</t>
  </si>
  <si>
    <t xml:space="preserve">hemolytic anemia </t>
  </si>
  <si>
    <t>RPE65</t>
  </si>
  <si>
    <t xml:space="preserve">retinitis pigmentosa </t>
  </si>
  <si>
    <t>c.271C&gt;T</t>
  </si>
  <si>
    <t>IDUA</t>
  </si>
  <si>
    <t xml:space="preserve">mucopolysaccharidosis type I </t>
  </si>
  <si>
    <t>c.208C&gt;T</t>
  </si>
  <si>
    <t>GALT</t>
  </si>
  <si>
    <t xml:space="preserve">galactosemia </t>
  </si>
  <si>
    <t>c.378-27G&gt;C</t>
  </si>
  <si>
    <t>c.507+62G&gt;A</t>
  </si>
  <si>
    <t>c.508-24G&gt;A</t>
  </si>
  <si>
    <t>c.940A&gt;G</t>
  </si>
  <si>
    <t>VWF</t>
  </si>
  <si>
    <t xml:space="preserve">von Willebrand disease type 2N </t>
  </si>
  <si>
    <t>c.2561G&gt;A</t>
  </si>
  <si>
    <t>KIAA0586</t>
  </si>
  <si>
    <t xml:space="preserve">Joubert syndrome and/or short rib thoracic dysplasia with polydactyly </t>
  </si>
  <si>
    <t>c.428del</t>
  </si>
  <si>
    <t>ATP13A2</t>
  </si>
  <si>
    <t xml:space="preserve">Kufor-Rakeb syndrome and/or spastic paraplegia </t>
  </si>
  <si>
    <t>c.2135_2136del</t>
  </si>
  <si>
    <t>WRN</t>
  </si>
  <si>
    <t xml:space="preserve">Werner syndrome </t>
  </si>
  <si>
    <t>c.561A&gt;G</t>
  </si>
  <si>
    <t>PEX1</t>
  </si>
  <si>
    <t xml:space="preserve">Zellweger spectrum disorder </t>
  </si>
  <si>
    <t>c.2614C&gt;T</t>
  </si>
  <si>
    <t>PHYH</t>
  </si>
  <si>
    <t xml:space="preserve">Refsum disease </t>
  </si>
  <si>
    <t>c.823C&gt;T</t>
  </si>
  <si>
    <t>GNE</t>
  </si>
  <si>
    <t xml:space="preserve">Nonaka myopathy </t>
  </si>
  <si>
    <t>c.1985C&gt;T</t>
  </si>
  <si>
    <t xml:space="preserve">thrombocytopenia- absent radius syndrome </t>
  </si>
  <si>
    <t>MMAB</t>
  </si>
  <si>
    <t xml:space="preserve">methylmalonic acidemia </t>
  </si>
  <si>
    <t>c.556C&gt;T</t>
  </si>
  <si>
    <t>c.563A&gt;G</t>
  </si>
  <si>
    <t>F5</t>
  </si>
  <si>
    <t xml:space="preserve">Factor V deficiency </t>
  </si>
  <si>
    <t>c.1601G&gt;A</t>
  </si>
  <si>
    <t>MMACHC</t>
  </si>
  <si>
    <t xml:space="preserve">methylmalonic acidemia w/homocystinuria type cblC </t>
  </si>
  <si>
    <t>c.331C&gt;T</t>
  </si>
  <si>
    <t xml:space="preserve">21-hydroxylase deficiency </t>
  </si>
  <si>
    <t>APTX</t>
  </si>
  <si>
    <t xml:space="preserve">ataxia w/oculomotor apraxia </t>
  </si>
  <si>
    <t>c.837G&gt;A</t>
  </si>
  <si>
    <t>IGHMBP2</t>
  </si>
  <si>
    <t xml:space="preserve">Charcot-Marie-Tooth disease axonal type 2S (AR); spinal muscular atrophy with respiratory distress (AR); glycogen storage disease type I (AR); alpha-1 antitrypsin deficiency (AR); retinitis pigmentosa (AR); enhanced S-cone syndrome (AR); hemochromatosis (AR); galactosemia (AR) </t>
  </si>
  <si>
    <t>c.1488C&gt;A</t>
  </si>
  <si>
    <t>G6PC</t>
  </si>
  <si>
    <t>c.562G&gt;A</t>
  </si>
  <si>
    <t>NR2E3</t>
  </si>
  <si>
    <t>c.932G&gt;A</t>
  </si>
  <si>
    <t xml:space="preserve">MPS I </t>
  </si>
  <si>
    <t>c.979G&gt;C</t>
  </si>
  <si>
    <t>GNRHR</t>
  </si>
  <si>
    <t xml:space="preserve">Hypogonadotropic hypogonadism 7 w/or w/o anosmia </t>
  </si>
  <si>
    <t>c.785G&gt;A</t>
  </si>
  <si>
    <t xml:space="preserve">Kufor-Rakeb syndrome and spastic paraplegia </t>
  </si>
  <si>
    <t>c.558-1G&gt;T</t>
  </si>
  <si>
    <t xml:space="preserve">thrombocytopenia absent radius </t>
  </si>
  <si>
    <t xml:space="preserve">cystic fibrosis </t>
  </si>
  <si>
    <t>POLG</t>
  </si>
  <si>
    <t xml:space="preserve">POLG-related spectrum disorders </t>
  </si>
  <si>
    <t>c.1399G&gt;A</t>
  </si>
  <si>
    <t>SLC7A9</t>
  </si>
  <si>
    <t xml:space="preserve">cystinuria </t>
  </si>
  <si>
    <t>c.544G&gt;A</t>
  </si>
  <si>
    <t>ERCC6</t>
  </si>
  <si>
    <t xml:space="preserve">Cockayne syndrome </t>
  </si>
  <si>
    <t>c.3952_3953del</t>
  </si>
  <si>
    <t>ARMC4</t>
  </si>
  <si>
    <t xml:space="preserve">Primary ciliary dyskinesia </t>
  </si>
  <si>
    <t>c.2219G&gt;A</t>
  </si>
  <si>
    <t>PFKM</t>
  </si>
  <si>
    <t xml:space="preserve">glycogen storage disease type VII </t>
  </si>
  <si>
    <t>c.496C&gt;T</t>
  </si>
  <si>
    <t>PMM2</t>
  </si>
  <si>
    <t>congenital disorder of glycosylation, type la</t>
  </si>
  <si>
    <t>c.422G&gt;A</t>
  </si>
  <si>
    <t>CEP290</t>
  </si>
  <si>
    <t xml:space="preserve">range of disorders, including Senior-Loken or Joubert syndrome </t>
  </si>
  <si>
    <t>c.4437+1G&gt;A</t>
  </si>
  <si>
    <t>DYNC2H1</t>
  </si>
  <si>
    <t xml:space="preserve">short-rib thoracic dysplasia </t>
  </si>
  <si>
    <t>c.8283del</t>
  </si>
  <si>
    <t>GAA</t>
  </si>
  <si>
    <t xml:space="preserve">glycogen storage disease type II </t>
  </si>
  <si>
    <t>c.-32-13T&gt;G</t>
  </si>
  <si>
    <t>CDK5RAP2</t>
  </si>
  <si>
    <t xml:space="preserve">primary microcephaly </t>
  </si>
  <si>
    <t>c.4114C&gt;T</t>
  </si>
  <si>
    <t>MCCC1</t>
  </si>
  <si>
    <t xml:space="preserve">3-methylcrotonyl-coA carboxylase deficiency </t>
  </si>
  <si>
    <t>c.1483C&gt;T</t>
  </si>
  <si>
    <t>DARS2</t>
  </si>
  <si>
    <t>c.493-1G&gt;C</t>
  </si>
  <si>
    <t>MCPH1</t>
  </si>
  <si>
    <t>c.2214+2T&gt;C</t>
  </si>
  <si>
    <t>USH2A</t>
  </si>
  <si>
    <t xml:space="preserve">Usher syndrome </t>
  </si>
  <si>
    <t>c.6937G&gt;T</t>
  </si>
  <si>
    <t>DOCK8</t>
  </si>
  <si>
    <t xml:space="preserve">hyper-IgE recurrent infection syndrome </t>
  </si>
  <si>
    <t>c.54-1G&gt;T</t>
  </si>
  <si>
    <t>ASL</t>
  </si>
  <si>
    <t xml:space="preserve">argininosuccinic aciduria </t>
  </si>
  <si>
    <t>c.544C&gt;T</t>
  </si>
  <si>
    <t>DNAH11</t>
  </si>
  <si>
    <t xml:space="preserve">primary ciliary dyskinesia </t>
  </si>
  <si>
    <t>c.6983+1G&gt;A</t>
  </si>
  <si>
    <t xml:space="preserve">classical galactosemia </t>
  </si>
  <si>
    <t>BBS1</t>
  </si>
  <si>
    <t xml:space="preserve">Bardet-Biedl syndrome </t>
  </si>
  <si>
    <t>c.1169T&gt;G</t>
  </si>
  <si>
    <t xml:space="preserve">von Willebrand diseaese </t>
  </si>
  <si>
    <t>CD36</t>
  </si>
  <si>
    <t xml:space="preserve">platelet glycoprotein IV deficiency </t>
  </si>
  <si>
    <t>c.787_808del</t>
  </si>
  <si>
    <t xml:space="preserve">TAR syndrome </t>
  </si>
  <si>
    <t>c.187C&gt;T</t>
  </si>
  <si>
    <t>F7</t>
  </si>
  <si>
    <t xml:space="preserve">Factor VII deficiency </t>
  </si>
  <si>
    <t>c.1151C&gt;T</t>
  </si>
  <si>
    <t>MPL</t>
  </si>
  <si>
    <t>congenital amegakaryocytic thrombocytopenia</t>
  </si>
  <si>
    <t>c.1192del</t>
  </si>
  <si>
    <t>ATP7B</t>
  </si>
  <si>
    <t xml:space="preserve">Wilson disease </t>
  </si>
  <si>
    <t>c.1934T&gt;G</t>
  </si>
  <si>
    <t>c.1519_1521del</t>
  </si>
  <si>
    <t xml:space="preserve">nonsyndromic hearing loss and deafness </t>
  </si>
  <si>
    <t>MYO3A</t>
  </si>
  <si>
    <t xml:space="preserve">sensorineural hearing loss/deafness </t>
  </si>
  <si>
    <t>c.4681C&gt;T</t>
  </si>
  <si>
    <t>p.Cys282Tyr</t>
  </si>
  <si>
    <t>p.Phe508del</t>
  </si>
  <si>
    <t>p.Arg357*</t>
  </si>
  <si>
    <t>p.lle175fs</t>
  </si>
  <si>
    <t>p.Pro454Ser</t>
  </si>
  <si>
    <t>p.Gly672Glu</t>
  </si>
  <si>
    <t>p.Glu366Lys</t>
  </si>
  <si>
    <t>p.Lys329Glu</t>
  </si>
  <si>
    <t>p.Cys561fs</t>
  </si>
  <si>
    <t>p.His63Asp</t>
  </si>
  <si>
    <t>p.Glu848*</t>
  </si>
  <si>
    <t>p.Pro406Leu</t>
  </si>
  <si>
    <t>p.Arg91Trp</t>
  </si>
  <si>
    <t>p.Gln70*</t>
  </si>
  <si>
    <t>p.Asn314Asp</t>
  </si>
  <si>
    <t>p.Arg854Gln</t>
  </si>
  <si>
    <t>p.Arg143fs</t>
  </si>
  <si>
    <t>p.Val712fs</t>
  </si>
  <si>
    <t>p.Arg872*</t>
  </si>
  <si>
    <t>p.Arg275Trp</t>
  </si>
  <si>
    <t>p.Arg186Trp</t>
  </si>
  <si>
    <t xml:space="preserve">p.Met1Thr </t>
  </si>
  <si>
    <t>p.Glu288Val</t>
  </si>
  <si>
    <t>p.Val98Met</t>
  </si>
  <si>
    <t xml:space="preserve">p.Asn156Asp </t>
  </si>
  <si>
    <t>p.Lys187fs</t>
  </si>
  <si>
    <t>p.Ala662Val</t>
  </si>
  <si>
    <t>p.Gln188Arg</t>
  </si>
  <si>
    <t>p.Arg534Gln</t>
  </si>
  <si>
    <t>p.Arg111*</t>
  </si>
  <si>
    <t>p.Trp279*</t>
  </si>
  <si>
    <t>p.Cys496*</t>
  </si>
  <si>
    <t>p.Gly188Ser</t>
  </si>
  <si>
    <t>p.Arg311Gln</t>
  </si>
  <si>
    <t>p.Ala327Pro</t>
  </si>
  <si>
    <t>p.Arg262Gln</t>
  </si>
  <si>
    <t>p.Ala467Thr</t>
  </si>
  <si>
    <t>p.Ala182Thr</t>
  </si>
  <si>
    <t>p.Arg1318fs</t>
  </si>
  <si>
    <t>p.Asn156Asp</t>
  </si>
  <si>
    <t>p.Trp740*</t>
  </si>
  <si>
    <t>p.Arg166*</t>
  </si>
  <si>
    <t>p.Arg141His</t>
  </si>
  <si>
    <t>p.?</t>
  </si>
  <si>
    <t>p.Asn314Asp.</t>
  </si>
  <si>
    <t>p.Phe2761fs</t>
  </si>
  <si>
    <t>p.Arg1372*</t>
  </si>
  <si>
    <t>p.Gln495*</t>
  </si>
  <si>
    <t>p.Gly2313Cys</t>
  </si>
  <si>
    <t>p.Arg182*</t>
  </si>
  <si>
    <t>p.Met390Arg</t>
  </si>
  <si>
    <t>p.Val263fs</t>
  </si>
  <si>
    <t>p.Arg63Cys</t>
  </si>
  <si>
    <t>p.Thr384Met</t>
  </si>
  <si>
    <t>p.Trp398fs</t>
  </si>
  <si>
    <t>p.Met645Arg</t>
  </si>
  <si>
    <t>p.lle507del</t>
  </si>
  <si>
    <t>p.Arg1561*</t>
  </si>
  <si>
    <t>c.2599-1G&gt;A</t>
  </si>
  <si>
    <t>Carrier</t>
  </si>
  <si>
    <t>ABCA3</t>
  </si>
  <si>
    <t>Pulmonary surfactant metabolism dysfunction type 3</t>
  </si>
  <si>
    <t>ABCA4</t>
  </si>
  <si>
    <t>Stargardt disease</t>
  </si>
  <si>
    <t>ABCG8</t>
  </si>
  <si>
    <t>Sitosterolemia</t>
  </si>
  <si>
    <t>Medium-chain acyl-CoA dehydrogenase (MCAD) deficiency</t>
  </si>
  <si>
    <t>Acyl-CoA-dehydrogenase deficiency</t>
  </si>
  <si>
    <t>ACADVL</t>
  </si>
  <si>
    <t>Very long chain acyl-CoA dehydrogenase deficiency</t>
  </si>
  <si>
    <t>ACSF3</t>
  </si>
  <si>
    <t>Malonic &amp; methylmalonic aciduria</t>
  </si>
  <si>
    <t>ADAR</t>
  </si>
  <si>
    <t>Aicardi-Goutières syndrome</t>
  </si>
  <si>
    <t>ADSL</t>
  </si>
  <si>
    <t>Adenylosuccinate lyase deficiency</t>
  </si>
  <si>
    <t>ALB</t>
  </si>
  <si>
    <t>Congenital analbuminemia</t>
  </si>
  <si>
    <t>ALDH7A1</t>
  </si>
  <si>
    <t>Pyridoxine‐dependent epilepsy</t>
  </si>
  <si>
    <t>ALDOB</t>
  </si>
  <si>
    <t>Hereditary fructose intolerance</t>
  </si>
  <si>
    <t>ALG1</t>
  </si>
  <si>
    <t>ALG-congenital disorder of glycosylation</t>
  </si>
  <si>
    <t>ALOXE3</t>
  </si>
  <si>
    <t>Congenital ichthyosis</t>
  </si>
  <si>
    <t>ANTXR1</t>
  </si>
  <si>
    <t>Growth delay alopecia pseudoanodontia-optic atrophy syndrome (GAPO)</t>
  </si>
  <si>
    <t>Ataxia with oculomotor apraxia type 1</t>
  </si>
  <si>
    <t>Primary ciliary dyskinesia</t>
  </si>
  <si>
    <t>ARSA</t>
  </si>
  <si>
    <t>Metachromatic leukodystrophy</t>
  </si>
  <si>
    <t>ASAH1</t>
  </si>
  <si>
    <t>Farber lipogranulomatosis</t>
  </si>
  <si>
    <t>Argininosuccinate lysase deficiency</t>
  </si>
  <si>
    <t>ASPA</t>
  </si>
  <si>
    <t>Canavan disease</t>
  </si>
  <si>
    <t>ASPM</t>
  </si>
  <si>
    <t>Primary microcephaly type 5</t>
  </si>
  <si>
    <t>ASS1</t>
  </si>
  <si>
    <t>Citrullinemia</t>
  </si>
  <si>
    <t>ATF6</t>
  </si>
  <si>
    <t>Achromatopsia</t>
  </si>
  <si>
    <t>ATP2A1</t>
  </si>
  <si>
    <t>Brody myopathy</t>
  </si>
  <si>
    <t>B3GALT6</t>
  </si>
  <si>
    <t>B3GALT6-associated skeletal and connective tissue disorders</t>
  </si>
  <si>
    <t>Bardet-Biedl syndrome</t>
  </si>
  <si>
    <t>BBS10</t>
  </si>
  <si>
    <t>BCKDHA</t>
  </si>
  <si>
    <t>Maple syrup urine disease</t>
  </si>
  <si>
    <t>BEST1</t>
  </si>
  <si>
    <t>Bestrophinopathy</t>
  </si>
  <si>
    <t>C12orf65</t>
  </si>
  <si>
    <t>Combined oxidative phosphorylation deficiency type 7</t>
  </si>
  <si>
    <t>C5</t>
  </si>
  <si>
    <t>Complement component 5 deficiency</t>
  </si>
  <si>
    <t>C6</t>
  </si>
  <si>
    <t>Complement component 6 deficiency</t>
  </si>
  <si>
    <t>C8B</t>
  </si>
  <si>
    <t>Complement C8b deficiency</t>
  </si>
  <si>
    <t>CBS</t>
  </si>
  <si>
    <t>Homocystinuria</t>
  </si>
  <si>
    <t>CC2D2A</t>
  </si>
  <si>
    <t>Joubert syndrome</t>
  </si>
  <si>
    <t>CCDC103</t>
  </si>
  <si>
    <t>CEP152</t>
  </si>
  <si>
    <t>Seckel syndrome</t>
  </si>
  <si>
    <t>CHAT</t>
  </si>
  <si>
    <t>Congenital myasthenic
syndrome</t>
  </si>
  <si>
    <t>CHST6</t>
  </si>
  <si>
    <t>Macular corneal dystrophy</t>
  </si>
  <si>
    <t>CIITA</t>
  </si>
  <si>
    <t>Bare lymphocyte syndrome type II</t>
  </si>
  <si>
    <t>CNGA3</t>
  </si>
  <si>
    <t>CNGA3-related achromatopsia/ cone-rod dystrophy</t>
  </si>
  <si>
    <t>CNGB3</t>
  </si>
  <si>
    <t>COL17A1</t>
  </si>
  <si>
    <t>Junctional epidermolysis bullosa</t>
  </si>
  <si>
    <t>COL6A2</t>
  </si>
  <si>
    <t>Collagen VI-related myopathy</t>
  </si>
  <si>
    <t>COL7A1</t>
  </si>
  <si>
    <t>Epidermolysis bullosa dystrophica</t>
  </si>
  <si>
    <t>CPT1A</t>
  </si>
  <si>
    <t>Carnitine palmitoyltransferase I (CPT I) deficiency</t>
  </si>
  <si>
    <t>Carnitine palmitoyltransferase II deficiency</t>
  </si>
  <si>
    <t>CRB1</t>
  </si>
  <si>
    <t>Retinal disorders</t>
  </si>
  <si>
    <t>CTNS</t>
  </si>
  <si>
    <t>Nephropathic cystinosis</t>
  </si>
  <si>
    <t>CYB5R3</t>
  </si>
  <si>
    <t>Congenital methemoglobinemia</t>
  </si>
  <si>
    <t>CYP1B1</t>
  </si>
  <si>
    <t>Primary congenital glaucoma</t>
  </si>
  <si>
    <t>CYP27A1</t>
  </si>
  <si>
    <t>Cerebrotendinous xanthomatosis</t>
  </si>
  <si>
    <t>CYP4V2</t>
  </si>
  <si>
    <t>Bietti crystalline dystrophy and related disorders</t>
  </si>
  <si>
    <t>DBT</t>
  </si>
  <si>
    <t>DGUOK</t>
  </si>
  <si>
    <t>Deoxyguanosine kinase deficiency</t>
  </si>
  <si>
    <t>DHCR7</t>
  </si>
  <si>
    <t>Smith-Lemli-Opitz syndrome</t>
  </si>
  <si>
    <t>DMP1</t>
  </si>
  <si>
    <t>Hereditary hypophosphatemic rickets</t>
  </si>
  <si>
    <t>DNAAF4</t>
  </si>
  <si>
    <t>DNAI2</t>
  </si>
  <si>
    <t>DOCK6</t>
  </si>
  <si>
    <t>Adams-Oliver syndrome</t>
  </si>
  <si>
    <t>DOK7</t>
  </si>
  <si>
    <t>Congenital myasthenia syndrome</t>
  </si>
  <si>
    <t>DUOX2</t>
  </si>
  <si>
    <t>Congenital hypothyroidism, due to dyshormonogenesis</t>
  </si>
  <si>
    <t>Congenital hypothyroidism and related disorders</t>
  </si>
  <si>
    <t>Short-rib thoracic dysplasia with or without polydactyly</t>
  </si>
  <si>
    <t>EDAR</t>
  </si>
  <si>
    <t>Hypohidrotic ectodermal dysplasia</t>
  </si>
  <si>
    <t>EPG5</t>
  </si>
  <si>
    <t>Vici syndrome</t>
  </si>
  <si>
    <t>ERCC5</t>
  </si>
  <si>
    <t>Xeroderma pigmentosum</t>
  </si>
  <si>
    <t>EXOSC3</t>
  </si>
  <si>
    <t>Pontocerebellar hypoplasia</t>
  </si>
  <si>
    <t>EYS</t>
  </si>
  <si>
    <t>Retinitis pigmentosa</t>
  </si>
  <si>
    <t>FAH</t>
  </si>
  <si>
    <t>Tyrosinemia type I</t>
  </si>
  <si>
    <t>FANCD2</t>
  </si>
  <si>
    <t>Fanconi anemia</t>
  </si>
  <si>
    <t>FANCG</t>
  </si>
  <si>
    <t>FAT4</t>
  </si>
  <si>
    <t>Van Maldergem syndrome 2 / Hennekam lymphangiectasia-lymphedema syndrome 2</t>
  </si>
  <si>
    <t>FBXL4</t>
  </si>
  <si>
    <t>Mitochondrial DNA depletion syndrome 13</t>
  </si>
  <si>
    <t xml:space="preserve">FREM2 </t>
  </si>
  <si>
    <t>Fraser syndrome</t>
  </si>
  <si>
    <t>Glycogen storage disease type I</t>
  </si>
  <si>
    <t>Glucose-6-phosphate-dehydrogenase deficiency</t>
  </si>
  <si>
    <t>Pompe disease</t>
  </si>
  <si>
    <t>GALC</t>
  </si>
  <si>
    <t>Krabbe disease</t>
  </si>
  <si>
    <t>GALNS</t>
  </si>
  <si>
    <t>Mucopolysaccharidosis
type Iva</t>
  </si>
  <si>
    <t>Mucopolysaccharidosis IVa</t>
  </si>
  <si>
    <t>GBA</t>
  </si>
  <si>
    <t>Gaucher disease</t>
  </si>
  <si>
    <t>GJB2-related non syndromic hearing loss</t>
  </si>
  <si>
    <t>GJB2-related non-syndromic hearing loss</t>
  </si>
  <si>
    <t>GJB2-related nonsyndromic hearing loss</t>
  </si>
  <si>
    <t>GLDC</t>
  </si>
  <si>
    <t>Glycine encephalopathy</t>
  </si>
  <si>
    <t>GLIS3</t>
  </si>
  <si>
    <t>Neonatal diabetes mellitus with congenital hypothyroidism</t>
  </si>
  <si>
    <t>GLRA1</t>
  </si>
  <si>
    <t>Hereditary hyperekplexia</t>
  </si>
  <si>
    <t>GNE-related myopathy</t>
  </si>
  <si>
    <t>GNPTAB</t>
  </si>
  <si>
    <t>Mucolipidosis type III</t>
  </si>
  <si>
    <t>Hypogonadotropic hypogonadism</t>
  </si>
  <si>
    <t>GPI</t>
  </si>
  <si>
    <t>Hemolytic anemia, nonspherocytic, due to glucose phosphate isomerase deficiency</t>
  </si>
  <si>
    <t>GPR179</t>
  </si>
  <si>
    <t>Congenital stationary night blindness</t>
  </si>
  <si>
    <t>GRHPR</t>
  </si>
  <si>
    <t>Primary hyperoxaluria type II</t>
  </si>
  <si>
    <t>GYS2</t>
  </si>
  <si>
    <t>Glycogen storage disease type 0</t>
  </si>
  <si>
    <t>HEXA</t>
  </si>
  <si>
    <t>Tay-Sachs disease</t>
  </si>
  <si>
    <t>HIBCH</t>
  </si>
  <si>
    <t>3-Hydroxyisobutyrl-CoA hydrolase deficiency</t>
  </si>
  <si>
    <t>HOGA1</t>
  </si>
  <si>
    <t>Primary hyperoxaluria type 3</t>
  </si>
  <si>
    <t>HSD17B3</t>
  </si>
  <si>
    <t>17 beta-hydroxysteroid dehydrogenase 3 deficiency,</t>
  </si>
  <si>
    <t>HSD3B2</t>
  </si>
  <si>
    <t>3 beta-hydroxysteroid dehydrogenase deficiency</t>
  </si>
  <si>
    <t>Mucopolysaccharidosis type I</t>
  </si>
  <si>
    <t>IKBKAP</t>
  </si>
  <si>
    <t>Familial dysautonomia</t>
  </si>
  <si>
    <t>IL36RN</t>
  </si>
  <si>
    <t>Generalized pustular psoriasis</t>
  </si>
  <si>
    <t>IQCB1</t>
  </si>
  <si>
    <t>Senior- Løken syndrome</t>
  </si>
  <si>
    <t>LAMA1</t>
  </si>
  <si>
    <t>Poretti-Boltshauser syndrome</t>
  </si>
  <si>
    <t>LAMB2</t>
  </si>
  <si>
    <t>Pierson syndrome</t>
  </si>
  <si>
    <t>LIFR</t>
  </si>
  <si>
    <t>Stuve -Wiedemann syndrome</t>
  </si>
  <si>
    <t>LIG4</t>
  </si>
  <si>
    <t>LIG4 syndrome</t>
  </si>
  <si>
    <t>LOXHD1</t>
  </si>
  <si>
    <t>Nonsyndromic hearing loss</t>
  </si>
  <si>
    <t>LRPAP1</t>
  </si>
  <si>
    <t>LRPAP1-related nonsyndromic myopia</t>
  </si>
  <si>
    <t>LTBP2</t>
  </si>
  <si>
    <t>LTBP2-related ocular disease</t>
  </si>
  <si>
    <t>3-Methylcrotonyl-CoA carboxylase 1 deficiency</t>
  </si>
  <si>
    <t>MCOLN1</t>
  </si>
  <si>
    <t>Mucolipidosis IV</t>
  </si>
  <si>
    <t>MEFV</t>
  </si>
  <si>
    <t>Familial Mediterranean fever</t>
  </si>
  <si>
    <t>MFSD8</t>
  </si>
  <si>
    <t>Late‐infantile neuronal ceroid lipofuscinosis</t>
  </si>
  <si>
    <t>MKS1</t>
  </si>
  <si>
    <t>Meckel syndrome</t>
  </si>
  <si>
    <t>MMAA</t>
  </si>
  <si>
    <t>Methylmalonic aciduria</t>
  </si>
  <si>
    <t>Methylmalonic aciduria and homocystinuria, cblC type</t>
  </si>
  <si>
    <t>MME</t>
  </si>
  <si>
    <t>NEP deficiency (responsible for alloimmune antenatal membranous nephropathy)</t>
  </si>
  <si>
    <t>MMP21</t>
  </si>
  <si>
    <t>Heterotaxy</t>
  </si>
  <si>
    <t>MTFMT</t>
  </si>
  <si>
    <t>Combined oxidative phosphorylation deficiency</t>
  </si>
  <si>
    <t>MTRR</t>
  </si>
  <si>
    <t>Homocystinuria/ Megaloblastic anemia cb1E
complementation type</t>
  </si>
  <si>
    <t>MUTYH</t>
  </si>
  <si>
    <t>MUTYH-related attenuated familial adenomatous polyposis</t>
  </si>
  <si>
    <t>MVK</t>
  </si>
  <si>
    <t>Hyperimmunoglobulinemia D syndrome</t>
  </si>
  <si>
    <t>Cardiomyopathy</t>
  </si>
  <si>
    <t>NBAS</t>
  </si>
  <si>
    <t>Infantile liver failure syndrome</t>
  </si>
  <si>
    <t xml:space="preserve">Infantile liver failure syndrome </t>
  </si>
  <si>
    <t>NMNAT1</t>
  </si>
  <si>
    <t>Leber congenital amaurosis</t>
  </si>
  <si>
    <t>NPC1</t>
  </si>
  <si>
    <t>Niemann-Pick disease Type C</t>
  </si>
  <si>
    <t>NPHS2</t>
  </si>
  <si>
    <t>Idiopathic steroidresistant nephrotic syndrome</t>
  </si>
  <si>
    <t>NUBPL</t>
  </si>
  <si>
    <t>Mitochondrial complex I deficiency</t>
  </si>
  <si>
    <t>OCA2</t>
  </si>
  <si>
    <t>Oculocutaneous albinism II</t>
  </si>
  <si>
    <t>ORC1</t>
  </si>
  <si>
    <t>Meier-Gorlin syndrome</t>
  </si>
  <si>
    <t>OTOF</t>
  </si>
  <si>
    <t>OTOF-related deafness</t>
  </si>
  <si>
    <t>OTOGL</t>
  </si>
  <si>
    <t>Hearing loss</t>
  </si>
  <si>
    <t>Phenylketonuria</t>
  </si>
  <si>
    <t>PAPSS2</t>
  </si>
  <si>
    <t>Brachyolmia</t>
  </si>
  <si>
    <t>PARK2</t>
  </si>
  <si>
    <t>Early-onset Parkinson disease</t>
  </si>
  <si>
    <t>PCCB</t>
  </si>
  <si>
    <t>Propionic acidemia</t>
  </si>
  <si>
    <t>PCNT</t>
  </si>
  <si>
    <t>Microcephalic osteodysplastic primordial dwarfism type 2</t>
  </si>
  <si>
    <t>PDE6B</t>
  </si>
  <si>
    <t>PEPD</t>
  </si>
  <si>
    <t>Prolidase deficiency</t>
  </si>
  <si>
    <t>PIGN</t>
  </si>
  <si>
    <t>Multiple congenital anomalies-hypotonia-seizures syndrome</t>
  </si>
  <si>
    <t>Multiple congenital anomalieshypotonia-
seizures syndrome</t>
  </si>
  <si>
    <t>PIGO</t>
  </si>
  <si>
    <t>Hyperphosphatasia with intellectual disability syndrome</t>
  </si>
  <si>
    <t>PKHD1</t>
  </si>
  <si>
    <t>Polycystic kidney disease</t>
  </si>
  <si>
    <t>PKLR</t>
  </si>
  <si>
    <t>Pyruvate kinase deficiency</t>
  </si>
  <si>
    <t>Congenital disorder of
glycosylation type Ia</t>
  </si>
  <si>
    <t>PNKP</t>
  </si>
  <si>
    <t>Ataxia with oculomotor apraxia</t>
  </si>
  <si>
    <t>PNP</t>
  </si>
  <si>
    <t>Purine nucleoside phosphorylase deficiency</t>
  </si>
  <si>
    <t>POLG-related mitochondrial disorders</t>
  </si>
  <si>
    <t>Mitochondrial DNA depletion syndrome</t>
  </si>
  <si>
    <t>POMT1</t>
  </si>
  <si>
    <t>POMT1-related muscular dystrophy-dystroglycanopathies</t>
  </si>
  <si>
    <t>PYGM</t>
  </si>
  <si>
    <t>Glycogen storage disorder type V</t>
  </si>
  <si>
    <t>QDPR</t>
  </si>
  <si>
    <t>Dihydropteridine reductase deficiency</t>
  </si>
  <si>
    <t>RAB27A</t>
  </si>
  <si>
    <t>Griscelli syndrome</t>
  </si>
  <si>
    <t>Thrombocytopenia with absent radius (TAR) syndrome</t>
  </si>
  <si>
    <t>RECQL4</t>
  </si>
  <si>
    <t>Rothmund-Thomson syndrome</t>
  </si>
  <si>
    <t>RNASEH2A</t>
  </si>
  <si>
    <t>Aicardi–Goutières syndrome</t>
  </si>
  <si>
    <t>RPGRIP1L</t>
  </si>
  <si>
    <t>Joubert syndrome-related disorders</t>
  </si>
  <si>
    <t>RSPH1</t>
  </si>
  <si>
    <t>RYR1</t>
  </si>
  <si>
    <t>RYR1-related myopathy</t>
  </si>
  <si>
    <t>SAR1B</t>
  </si>
  <si>
    <t>Chylomicron retention disease</t>
  </si>
  <si>
    <t>SCN9A</t>
  </si>
  <si>
    <t>Congenital insensitivity to pain</t>
  </si>
  <si>
    <t>SEC23B</t>
  </si>
  <si>
    <t>Congenital dyserythropoietic anemia, type II</t>
  </si>
  <si>
    <t>SERAC1</t>
  </si>
  <si>
    <t>3-methylglutaconic aciduria with deafness, encephalopathy, and Leigh-like (MEGDEL) syndrome</t>
  </si>
  <si>
    <t>SI</t>
  </si>
  <si>
    <t>Congenital sucrase-isomaltase deficiency</t>
  </si>
  <si>
    <t>SLC22A5</t>
  </si>
  <si>
    <t>Primary carnitine deficiency</t>
  </si>
  <si>
    <t>SLC24A5</t>
  </si>
  <si>
    <t>Oculocutaneous albinism</t>
  </si>
  <si>
    <t>SLC26A2</t>
  </si>
  <si>
    <t>Diastrophic dysplasia</t>
  </si>
  <si>
    <t>Pendred syndrome</t>
  </si>
  <si>
    <t>SLC3A1</t>
  </si>
  <si>
    <t>Cystinuria</t>
  </si>
  <si>
    <t>SLC5A2</t>
  </si>
  <si>
    <t>Renal glucosuria</t>
  </si>
  <si>
    <t>SMPD1</t>
  </si>
  <si>
    <t>Acid sphingomyelinase deficiency</t>
  </si>
  <si>
    <t>SPG11</t>
  </si>
  <si>
    <t>Spastic paraplegia</t>
  </si>
  <si>
    <t>SPG7</t>
  </si>
  <si>
    <t>SPINK5</t>
  </si>
  <si>
    <t>Netherton syndrome</t>
  </si>
  <si>
    <t>TECTA</t>
  </si>
  <si>
    <t>TGM1</t>
  </si>
  <si>
    <t>Lamellar ichthyosis</t>
  </si>
  <si>
    <t>TK2</t>
  </si>
  <si>
    <t>TK2-related mitochondrial DNA depletion syndrome</t>
  </si>
  <si>
    <t>TMEM237</t>
  </si>
  <si>
    <t>TMEM5</t>
  </si>
  <si>
    <t>Congenital muscular dystrophy-dystroglycanopathy with brain and eye anomalies</t>
  </si>
  <si>
    <t>TMEM67</t>
  </si>
  <si>
    <t>TMPRRS</t>
  </si>
  <si>
    <t>TRIM32</t>
  </si>
  <si>
    <t>Limb-girdle muscular dystrophy</t>
  </si>
  <si>
    <t>TRIP11</t>
  </si>
  <si>
    <t>Achondrogenesis type 1A</t>
  </si>
  <si>
    <t>TSEN54</t>
  </si>
  <si>
    <t>TTC37</t>
  </si>
  <si>
    <t>Trichohepatoenteric syndrome</t>
  </si>
  <si>
    <t>TTN</t>
  </si>
  <si>
    <t>Centronuclear myopathy</t>
  </si>
  <si>
    <t>TULP1</t>
  </si>
  <si>
    <t>Leber congenital amaurosis / retinitis pigmentosa</t>
  </si>
  <si>
    <t>TYMP</t>
  </si>
  <si>
    <t>Mitochondrial neurogastrointestinal encephalopathy disease (MNGIE)</t>
  </si>
  <si>
    <t>Oculocutaneous albinism type 1</t>
  </si>
  <si>
    <t>UNC80</t>
  </si>
  <si>
    <t>Infantile hypotonia with psycho-motor retardation and characteristic facies-2</t>
  </si>
  <si>
    <t>USH1G</t>
  </si>
  <si>
    <t>Usher syndrome</t>
  </si>
  <si>
    <t xml:space="preserve">USH2A </t>
  </si>
  <si>
    <t>von Willebrand disease</t>
  </si>
  <si>
    <t>Von Willebrand disease, type 2N</t>
  </si>
  <si>
    <t>WDR72</t>
  </si>
  <si>
    <t>Amelogenesis imperfecta</t>
  </si>
  <si>
    <t>Werner syndrome</t>
  </si>
  <si>
    <t>XDH</t>
  </si>
  <si>
    <t>Hereditary xanthinuria type I</t>
  </si>
  <si>
    <t>c.875A&gt;T</t>
  </si>
  <si>
    <t>c.2588G&gt;C</t>
  </si>
  <si>
    <t>c.3113C&gt;T</t>
  </si>
  <si>
    <t>c.6079C&gt;T</t>
  </si>
  <si>
    <t>c.5882G&gt;A</t>
  </si>
  <si>
    <t>c.161G&gt;A</t>
  </si>
  <si>
    <t>c.965-1G&gt;A</t>
  </si>
  <si>
    <t>c.997A&gt;G</t>
  </si>
  <si>
    <t>c.811G&gt;A</t>
  </si>
  <si>
    <t>c.211T&gt;C</t>
  </si>
  <si>
    <t>c.848T&gt;C</t>
  </si>
  <si>
    <t>c.1672C&gt;T</t>
  </si>
  <si>
    <t>c.577C&gt;G</t>
  </si>
  <si>
    <t>c.1277G&gt;A</t>
  </si>
  <si>
    <t>c.412C&gt;T</t>
  </si>
  <si>
    <t>c.1279G&gt;C</t>
  </si>
  <si>
    <t>c.773C&gt;T</t>
  </si>
  <si>
    <t>c.2285C&gt;T</t>
  </si>
  <si>
    <t>c.505C&gt;T</t>
  </si>
  <si>
    <t>c.124C&gt;T</t>
  </si>
  <si>
    <t>c.2495+1G&gt;A</t>
  </si>
  <si>
    <t>c.869G&gt;A</t>
  </si>
  <si>
    <t>c.696+1G&gt;C</t>
  </si>
  <si>
    <t>c.578G&gt;A</t>
  </si>
  <si>
    <t>c.854A&gt;C</t>
  </si>
  <si>
    <t>c.4720C&gt;T</t>
  </si>
  <si>
    <t>c.787G&gt;A</t>
  </si>
  <si>
    <t>c.160dupG</t>
  </si>
  <si>
    <t>c.2744+1G&gt;A</t>
  </si>
  <si>
    <t>c.3207C&gt;A</t>
  </si>
  <si>
    <t>c.2804C&gt;T</t>
  </si>
  <si>
    <t>c.763C&gt;T</t>
  </si>
  <si>
    <t>c.2119_2120delGT</t>
  </si>
  <si>
    <t>c.511delC</t>
  </si>
  <si>
    <t>c.1514_1515delTG</t>
  </si>
  <si>
    <t>c.602T&gt;C</t>
  </si>
  <si>
    <t>c.1330G&gt;C</t>
  </si>
  <si>
    <t>c.210delA</t>
  </si>
  <si>
    <t>c.4336delG</t>
  </si>
  <si>
    <t>c.1879delG</t>
  </si>
  <si>
    <t>c.1282C&gt;T</t>
  </si>
  <si>
    <t>c.919G&gt;A</t>
  </si>
  <si>
    <t>c.833T&gt;C</t>
  </si>
  <si>
    <t>c.4667A&gt;T</t>
  </si>
  <si>
    <t>c.223_226dupTGTC</t>
  </si>
  <si>
    <t>c.314G&gt;A</t>
  </si>
  <si>
    <t xml:space="preserve">c.1521_1523delCTT </t>
  </si>
  <si>
    <t>c.1766+5G&gt;T</t>
  </si>
  <si>
    <t>c.160G&gt;A</t>
  </si>
  <si>
    <t>c.599T&gt;G</t>
  </si>
  <si>
    <t>c.2888+1G&gt;A</t>
  </si>
  <si>
    <t>c.338dupG</t>
  </si>
  <si>
    <t>c.1306C&gt;T</t>
  </si>
  <si>
    <t>c.1148delC</t>
  </si>
  <si>
    <t>c.1970-9G&gt;A</t>
  </si>
  <si>
    <t>c.2993-2A&gt;G</t>
  </si>
  <si>
    <t xml:space="preserve">c.1163+1G&gt;A </t>
  </si>
  <si>
    <t>c.338C&gt;T</t>
  </si>
  <si>
    <t>c.291_299delAATTGATGG</t>
  </si>
  <si>
    <t>c.870C&gt;G</t>
  </si>
  <si>
    <t>c.1103G&gt;A</t>
  </si>
  <si>
    <t>c.1214G&gt;A</t>
  </si>
  <si>
    <t>c.992A&gt;C</t>
  </si>
  <si>
    <t>c.802-8_810delinsGC</t>
  </si>
  <si>
    <t>c.901C&gt;T</t>
  </si>
  <si>
    <t>c.605_606delGA</t>
  </si>
  <si>
    <t>c.964-1G&gt;C</t>
  </si>
  <si>
    <t>c.724C&gt;T</t>
  </si>
  <si>
    <t>c.452G&gt;A</t>
  </si>
  <si>
    <t>c.979C&gt;T</t>
  </si>
  <si>
    <t>c.523delA</t>
  </si>
  <si>
    <t>c.1672_1673delGC</t>
  </si>
  <si>
    <t>c.4576C&gt;T</t>
  </si>
  <si>
    <t xml:space="preserve">c.2895_2898del </t>
  </si>
  <si>
    <t>c.1462G&gt;A</t>
  </si>
  <si>
    <t>c.3262dupA</t>
  </si>
  <si>
    <t>c.529+1G&gt;A</t>
  </si>
  <si>
    <t>c.3698G&gt;A</t>
  </si>
  <si>
    <t>c.1173_1174insT</t>
  </si>
  <si>
    <t>c.238G&gt;T</t>
  </si>
  <si>
    <t>c.8678delA</t>
  </si>
  <si>
    <t>c.984T&gt;G</t>
  </si>
  <si>
    <t>c.1062+5G&gt;A</t>
  </si>
  <si>
    <t>c.2715+1G&gt;A</t>
  </si>
  <si>
    <t>c.85-2A&gt;T</t>
  </si>
  <si>
    <t>c.6700C&gt;T</t>
  </si>
  <si>
    <t>c.1012G&gt;T</t>
  </si>
  <si>
    <t>c.6350_6351delCA</t>
  </si>
  <si>
    <t>c.247C&gt;T</t>
  </si>
  <si>
    <t>c.1316T&gt;A</t>
  </si>
  <si>
    <t>c.334A&gt;G</t>
  </si>
  <si>
    <t>c.850T&gt;G</t>
  </si>
  <si>
    <t>c.740G&gt;A</t>
  </si>
  <si>
    <t>c.1279G&gt;T</t>
  </si>
  <si>
    <t>c.1226A&gt;G</t>
  </si>
  <si>
    <t>c.35delG</t>
  </si>
  <si>
    <t xml:space="preserve">c.283G&gt;A </t>
  </si>
  <si>
    <t>c.269T&gt;C</t>
  </si>
  <si>
    <t>c.128delA</t>
  </si>
  <si>
    <t>c.571_572dupCT</t>
  </si>
  <si>
    <t>c.403delC</t>
  </si>
  <si>
    <t>c.1225G&gt;T</t>
  </si>
  <si>
    <t>c.3603‐1G&gt;A</t>
  </si>
  <si>
    <t>c.317A&gt;G</t>
  </si>
  <si>
    <t>c.1369C&gt;T</t>
  </si>
  <si>
    <t>c.2706_2707dupAC</t>
  </si>
  <si>
    <t>c.984delC</t>
  </si>
  <si>
    <t>c.799_803delinsTGATCTAC</t>
  </si>
  <si>
    <t>c.103delG</t>
  </si>
  <si>
    <t>c.736C&gt;T</t>
  </si>
  <si>
    <t>c.1274_1277dupTATC</t>
  </si>
  <si>
    <t xml:space="preserve">c.809+1G&gt;A </t>
  </si>
  <si>
    <t>c.700+5G&gt;T</t>
  </si>
  <si>
    <t>c.277+4A&gt;T</t>
  </si>
  <si>
    <t>c.1064G&gt;A</t>
  </si>
  <si>
    <t>c.1205G&gt;A</t>
  </si>
  <si>
    <t xml:space="preserve">c.2204+6T&gt;C </t>
  </si>
  <si>
    <t>c.1363C&gt;T</t>
  </si>
  <si>
    <t>c.428delG</t>
  </si>
  <si>
    <t>c.8062_8068dup</t>
  </si>
  <si>
    <t>c.3109+1G&gt;T</t>
  </si>
  <si>
    <t>c.1578delA</t>
  </si>
  <si>
    <t>c.879_883delAAATG</t>
  </si>
  <si>
    <t>c.2244+2T&gt;G</t>
  </si>
  <si>
    <t>c.181C&gt;T</t>
  </si>
  <si>
    <t>c.4597C&gt;T</t>
  </si>
  <si>
    <t>c.974T&gt;G</t>
  </si>
  <si>
    <t>c.406-2A&gt;G</t>
  </si>
  <si>
    <t>c.2282G&gt;A</t>
  </si>
  <si>
    <t>c.2177T&gt;C</t>
  </si>
  <si>
    <t>c.863+1G&gt;A</t>
  </si>
  <si>
    <t>c.417G&gt;A</t>
  </si>
  <si>
    <t>c.433C&gt;T</t>
  </si>
  <si>
    <t>c.1342C&gt;T</t>
  </si>
  <si>
    <t>c.1203G&gt;A</t>
  </si>
  <si>
    <t>c.1100_1101delTT</t>
  </si>
  <si>
    <t>c.421C&gt;T</t>
  </si>
  <si>
    <t>c.1438G&gt;T</t>
  </si>
  <si>
    <t>c.1187G&gt;A</t>
  </si>
  <si>
    <t>c.536A&gt;G</t>
  </si>
  <si>
    <t>c.1129G&gt;A</t>
  </si>
  <si>
    <t>c.3628-41_3628-17del</t>
  </si>
  <si>
    <t>c.457delC</t>
  </si>
  <si>
    <t>c.1987C&gt;T</t>
  </si>
  <si>
    <t>c.2950delA</t>
  </si>
  <si>
    <t>c.769G&gt;A</t>
  </si>
  <si>
    <t>c.3410_3411insA</t>
  </si>
  <si>
    <t>c.3614C&gt;G</t>
  </si>
  <si>
    <t>c.2621A&gt;T</t>
  </si>
  <si>
    <t>c.1628C&gt;T</t>
  </si>
  <si>
    <t>c.535‐1G&gt;T</t>
  </si>
  <si>
    <t>c.593C&gt;T</t>
  </si>
  <si>
    <t>c.1544T&gt;C</t>
  </si>
  <si>
    <t>c.4574-2A&gt;G</t>
  </si>
  <si>
    <t>c.1241A&gt;G</t>
  </si>
  <si>
    <t xml:space="preserve">c.222C&gt;G </t>
  </si>
  <si>
    <t>c.337C&gt;T</t>
  </si>
  <si>
    <t>c.7126C&gt;T</t>
  </si>
  <si>
    <t>c.299G&gt;A</t>
  </si>
  <si>
    <t>c.1342G&gt;A</t>
  </si>
  <si>
    <t>c.674+1G&gt;A</t>
  </si>
  <si>
    <t>c.548_549+6del</t>
  </si>
  <si>
    <t>c.1810dupC</t>
  </si>
  <si>
    <t>c.3761_3762delinsG</t>
  </si>
  <si>
    <t>c.1295_1298+6del</t>
  </si>
  <si>
    <t>c.286-18G&gt;A</t>
  </si>
  <si>
    <t>c.2209G&gt;C</t>
  </si>
  <si>
    <t>c.830A&gt;T</t>
  </si>
  <si>
    <t>c.485delT</t>
  </si>
  <si>
    <t>c.148C&gt;T</t>
  </si>
  <si>
    <t>c.149delG</t>
  </si>
  <si>
    <t>c.67+32G&gt;C</t>
  </si>
  <si>
    <t>c.1089C&gt;G</t>
  </si>
  <si>
    <t>c.529G&gt;A</t>
  </si>
  <si>
    <t>c.2992delA</t>
  </si>
  <si>
    <t>c.85G&gt;T</t>
  </si>
  <si>
    <t>c.6721C&gt;T</t>
  </si>
  <si>
    <t>c.409G&gt;A</t>
  </si>
  <si>
    <t>c.4700G&gt;A</t>
  </si>
  <si>
    <t>c.1640G&gt;A</t>
  </si>
  <si>
    <t>c.21C&gt;A</t>
  </si>
  <si>
    <t>c.2159+2T&gt;G</t>
  </si>
  <si>
    <t>c.1730T&gt;G</t>
  </si>
  <si>
    <t>c.3218G&gt;A</t>
  </si>
  <si>
    <t>c.424G&gt;T</t>
  </si>
  <si>
    <t>c.136C&gt;T</t>
  </si>
  <si>
    <t>c.1078+1G&gt;A</t>
  </si>
  <si>
    <t>c.835C&gt;T</t>
  </si>
  <si>
    <t>c.1003T&gt;C</t>
  </si>
  <si>
    <t>c.1400T&gt;C</t>
  </si>
  <si>
    <t>c.1750delA</t>
  </si>
  <si>
    <t>c.885+5G&gt;A</t>
  </si>
  <si>
    <t>c.757G&gt;C</t>
  </si>
  <si>
    <t>c.3711dupC</t>
  </si>
  <si>
    <t>c.773_774delTG</t>
  </si>
  <si>
    <t>c.1053dup</t>
  </si>
  <si>
    <t>c.817_818delAA</t>
  </si>
  <si>
    <t>c.2719C&gt;T</t>
  </si>
  <si>
    <t>c.919C&gt;G</t>
  </si>
  <si>
    <t>c.416C&gt;T</t>
  </si>
  <si>
    <t>c.62delC</t>
  </si>
  <si>
    <t>.1016A&gt;G</t>
  </si>
  <si>
    <t>c.1276G&gt;A</t>
  </si>
  <si>
    <t>c.691delG</t>
  </si>
  <si>
    <t>c.5719+2T&gt;C</t>
  </si>
  <si>
    <t>c.919G&gt;T</t>
  </si>
  <si>
    <t>c.252T&gt;G</t>
  </si>
  <si>
    <t>c.54172C&gt;T</t>
  </si>
  <si>
    <t>c.64276_64282delinsTA</t>
  </si>
  <si>
    <t>c.855_856insC</t>
  </si>
  <si>
    <t>c.1160-1G&gt;A</t>
  </si>
  <si>
    <t>c.1037-7T&gt;A</t>
  </si>
  <si>
    <t>c.242C&gt;T</t>
  </si>
  <si>
    <t>c.1336G&gt;A</t>
  </si>
  <si>
    <t>c.1513C&gt;T</t>
  </si>
  <si>
    <t>c.1373A&gt;T</t>
  </si>
  <si>
    <t>c.2276G&gt;T</t>
  </si>
  <si>
    <t>c.3179delG</t>
  </si>
  <si>
    <t>c.88C&gt;T</t>
  </si>
  <si>
    <t>c.3913C&gt;T</t>
  </si>
  <si>
    <t>c.1686+1G&gt;C</t>
  </si>
  <si>
    <t>c.3440C&gt;G</t>
  </si>
  <si>
    <t>p.Glu292Val</t>
  </si>
  <si>
    <t>p.Gly863Ala</t>
  </si>
  <si>
    <t>p.Ala1038Val</t>
  </si>
  <si>
    <t>p.Leu2027Phe</t>
  </si>
  <si>
    <t>p.Gly1961Glu</t>
  </si>
  <si>
    <t>p.Cys54Tyr</t>
  </si>
  <si>
    <t>p.Lys333Glu</t>
  </si>
  <si>
    <t>p.Gly271Arg</t>
  </si>
  <si>
    <t>p.Tyr71His</t>
  </si>
  <si>
    <t>p.Val283Ala</t>
  </si>
  <si>
    <t>p.Arg558Trp</t>
  </si>
  <si>
    <t>p.Pro193Ala</t>
  </si>
  <si>
    <t>p.Arg426His</t>
  </si>
  <si>
    <t>p.Arg138X</t>
  </si>
  <si>
    <t>p.Glu427Gln</t>
  </si>
  <si>
    <t>p.Ser258Leu</t>
  </si>
  <si>
    <t>p.Pro762Leu</t>
  </si>
  <si>
    <t>p.Arg169X</t>
  </si>
  <si>
    <t>p.Trp279X</t>
  </si>
  <si>
    <t>p.Arg42X</t>
  </si>
  <si>
    <t>p.Arg290His</t>
  </si>
  <si>
    <t>p.Arg193Gln</t>
  </si>
  <si>
    <t>p.Glu285Ala</t>
  </si>
  <si>
    <t>p.Gln1574X</t>
  </si>
  <si>
    <t>p.Val263Met</t>
  </si>
  <si>
    <t>p.Glu54GlyfsX5</t>
  </si>
  <si>
    <t>p.His1069Gln</t>
  </si>
  <si>
    <t>p.Thr935Met</t>
  </si>
  <si>
    <t>p.Gln255X</t>
  </si>
  <si>
    <t>p.Val707X</t>
  </si>
  <si>
    <t>p.Leu171TrpfsX159</t>
  </si>
  <si>
    <t>p.Val505GlufsX9</t>
  </si>
  <si>
    <t>p.Ile201Thr</t>
  </si>
  <si>
    <t>p.Asp444His</t>
  </si>
  <si>
    <t>p.Gly72Alafs*13</t>
  </si>
  <si>
    <t>p.Val1446TrpfsX19</t>
  </si>
  <si>
    <t>p.Asp627ThrfsX4</t>
  </si>
  <si>
    <t>p.Gln91X</t>
  </si>
  <si>
    <t>p.Arg428X</t>
  </si>
  <si>
    <t>p.Gly307Ser</t>
  </si>
  <si>
    <t>p.Ile278Thr</t>
  </si>
  <si>
    <t>p.Asp1556Val</t>
  </si>
  <si>
    <t>p.His76LeufsX15</t>
  </si>
  <si>
    <t>p.Trp105X</t>
  </si>
  <si>
    <t>p.Gly622Asp</t>
  </si>
  <si>
    <t>p.Val54Met</t>
  </si>
  <si>
    <t>p.Leu200Arg</t>
  </si>
  <si>
    <t>p.Leu114ProfsX13</t>
  </si>
  <si>
    <t>p.Arg436Trp</t>
  </si>
  <si>
    <t>p.Thr383IlefsX13</t>
  </si>
  <si>
    <t>p.Ser113Leu</t>
  </si>
  <si>
    <t>p.Ile98_Gly100del</t>
  </si>
  <si>
    <t>p.Tyr290X</t>
  </si>
  <si>
    <t>p.Val253Met</t>
  </si>
  <si>
    <t>p.Arg368His</t>
  </si>
  <si>
    <t>p.Arg405Gln</t>
  </si>
  <si>
    <t xml:space="preserve"> p.His331Pro</t>
  </si>
  <si>
    <t>p.Arg301Cys</t>
  </si>
  <si>
    <t>p.Arg202ThrfsX13</t>
  </si>
  <si>
    <t>p.Arg242Cys</t>
  </si>
  <si>
    <t>p.Trp151X</t>
  </si>
  <si>
    <t>p.Gln327X</t>
  </si>
  <si>
    <t>p.Ile175PhefsX21</t>
  </si>
  <si>
    <t>p.Ala558ArgfsX40</t>
  </si>
  <si>
    <t>p.Arg1526X</t>
  </si>
  <si>
    <t>p.Phe966SerfsX29</t>
  </si>
  <si>
    <t>p.Gly488Arg</t>
  </si>
  <si>
    <t>p.Ile1088AsnfsX2</t>
  </si>
  <si>
    <t>p.Trp1233X</t>
  </si>
  <si>
    <t>p.Lys392X</t>
  </si>
  <si>
    <t>p.Val80Phe</t>
  </si>
  <si>
    <t>p.Asn2893Metfs*25</t>
  </si>
  <si>
    <t>p.Phe328Leu</t>
  </si>
  <si>
    <t>p.Arg2234X</t>
  </si>
  <si>
    <t>p.Glu338X</t>
  </si>
  <si>
    <t>p.Thr2117SerfsX5</t>
  </si>
  <si>
    <t>p.Arg83Cys</t>
  </si>
  <si>
    <t>p.Met439Lys</t>
  </si>
  <si>
    <t>p.Thr112Ala</t>
  </si>
  <si>
    <t>p.Phe284Val</t>
  </si>
  <si>
    <t>p.Gly247Asp</t>
  </si>
  <si>
    <t>p.Glu427X</t>
  </si>
  <si>
    <t>p.Asn409Ser</t>
  </si>
  <si>
    <t>p.Gly12ValfsX2</t>
  </si>
  <si>
    <t>p.Val95Met</t>
  </si>
  <si>
    <t>p.Leu90Pro</t>
  </si>
  <si>
    <t>p.Asp43AlafsX48</t>
  </si>
  <si>
    <t>p.Asn192X</t>
  </si>
  <si>
    <t>p.His135ThrfsX12</t>
  </si>
  <si>
    <t>p.Asp409Tyr</t>
  </si>
  <si>
    <t>p.Gln106Arg</t>
  </si>
  <si>
    <t>p.Arg457X</t>
  </si>
  <si>
    <t>p.Pro903HisfsX67</t>
  </si>
  <si>
    <t>p.Ser329LeufsX4</t>
  </si>
  <si>
    <t>p.Gln267X</t>
  </si>
  <si>
    <t>p.Asp35ThrfsX11</t>
  </si>
  <si>
    <t>p.Arg246Cys</t>
  </si>
  <si>
    <t>p.Tyr427IlefsX5</t>
  </si>
  <si>
    <t>p.Trp355X</t>
  </si>
  <si>
    <t>p.Trp402X</t>
  </si>
  <si>
    <t>p.Arg455X</t>
  </si>
  <si>
    <t>p.Arg143Lysfs</t>
  </si>
  <si>
    <t>p.Leu2690GlnfsX42</t>
  </si>
  <si>
    <t>p.Lys526AsnfsX4</t>
  </si>
  <si>
    <t xml:space="preserve">p.Asn294IlefsX2 </t>
  </si>
  <si>
    <t>p.Gln61X</t>
  </si>
  <si>
    <t>p.Gln1533X</t>
  </si>
  <si>
    <t>p.Met325Arg</t>
  </si>
  <si>
    <t>p.Arg761His</t>
  </si>
  <si>
    <t>p.Val726Ala</t>
  </si>
  <si>
    <t>p.Glu139Glu</t>
  </si>
  <si>
    <t>p.Arg145X</t>
  </si>
  <si>
    <t>p.Arg111X</t>
  </si>
  <si>
    <t>p.Arg448X</t>
  </si>
  <si>
    <t>p.Trp401X</t>
  </si>
  <si>
    <t>p.Phe367SerfsX22</t>
  </si>
  <si>
    <t>p.Arg141X</t>
  </si>
  <si>
    <t>p.Glu480X</t>
  </si>
  <si>
    <t>p.Gly396Asp</t>
  </si>
  <si>
    <t>p.Tyr179Cys</t>
  </si>
  <si>
    <t>p.Val377Ile</t>
  </si>
  <si>
    <t>p.His153ThrfsX14</t>
  </si>
  <si>
    <t>p.Gln663X</t>
  </si>
  <si>
    <t>p.Ile984LeufsX8</t>
  </si>
  <si>
    <t>p.Glu257Lys</t>
  </si>
  <si>
    <t>p.Asn1137LysfsX121</t>
  </si>
  <si>
    <t>p.Thr1205Arg</t>
  </si>
  <si>
    <t>p.Asp874Val</t>
  </si>
  <si>
    <t>p.Pro543Leu</t>
  </si>
  <si>
    <t>p.Met1?</t>
  </si>
  <si>
    <t xml:space="preserve">p.Pro198Leu </t>
  </si>
  <si>
    <t>p.Arg105Gln</t>
  </si>
  <si>
    <t>p.Ile515Thr</t>
  </si>
  <si>
    <t>p.Tyr414Cys</t>
  </si>
  <si>
    <t>p.Tyr74X</t>
  </si>
  <si>
    <t>p.Arg113X</t>
  </si>
  <si>
    <t>p.Gln2376X</t>
  </si>
  <si>
    <t>p.Arg100His</t>
  </si>
  <si>
    <t>p.Gly448Arg</t>
  </si>
  <si>
    <t>p.Arg604ProfsX40</t>
  </si>
  <si>
    <t>p.Ala1254GlyfsX49</t>
  </si>
  <si>
    <t>p.Gly737Arg</t>
  </si>
  <si>
    <t>p.His277Leu</t>
  </si>
  <si>
    <t>p.Phe162SerfsX10</t>
  </si>
  <si>
    <t>p.Arg50X</t>
  </si>
  <si>
    <t>p.Arg50LysfsX35</t>
  </si>
  <si>
    <t>p.Tyr363X</t>
  </si>
  <si>
    <t>p.Ala177Thr</t>
  </si>
  <si>
    <t>p.Ile998PhefsX5</t>
  </si>
  <si>
    <t>p.Glu29X</t>
  </si>
  <si>
    <t>p.Arg2241X</t>
  </si>
  <si>
    <t>p.Asp137Asn</t>
  </si>
  <si>
    <t>p.Trp1567X</t>
  </si>
  <si>
    <t>p.Trp547X</t>
  </si>
  <si>
    <t>p.Cys7X</t>
  </si>
  <si>
    <t>p.Val577Gly</t>
  </si>
  <si>
    <t>p.Gly1073Asp</t>
  </si>
  <si>
    <t>p.Ala142Ser</t>
  </si>
  <si>
    <t>p.Pro46Ser</t>
  </si>
  <si>
    <t>p.Arg279Trp</t>
  </si>
  <si>
    <t>p.Phe335Leu</t>
  </si>
  <si>
    <t>p.Met467Thr</t>
  </si>
  <si>
    <t>p.Arg584GlufsX14</t>
  </si>
  <si>
    <t>p.Asp253His</t>
  </si>
  <si>
    <t>p.Tyr1238LeufsX27</t>
  </si>
  <si>
    <t>p.Val258GlyfsX30</t>
  </si>
  <si>
    <t>p.Gly352ArgfsX44</t>
  </si>
  <si>
    <t>p.Asn273GlnfsX2</t>
  </si>
  <si>
    <t>p.Arg907X</t>
  </si>
  <si>
    <t>p.Arg307Gly</t>
  </si>
  <si>
    <t>p.Ala139Val</t>
  </si>
  <si>
    <t>p.Pro21Hisfs*125</t>
  </si>
  <si>
    <t>p.Tyr339Cys</t>
  </si>
  <si>
    <t>p.Arg91X</t>
  </si>
  <si>
    <t>p.Ala426Thr</t>
  </si>
  <si>
    <t>p.Ala231GlnfsX21</t>
  </si>
  <si>
    <t>p.Ala307Ser</t>
  </si>
  <si>
    <t>p.Tyr84X</t>
  </si>
  <si>
    <t>p.Arg18058X</t>
  </si>
  <si>
    <t>p.Ala21426X</t>
  </si>
  <si>
    <t>p.Met11632SerfsX8</t>
  </si>
  <si>
    <t>p.Val286ArgfsX98</t>
  </si>
  <si>
    <t>p.Pro81Leu</t>
  </si>
  <si>
    <t>p.Gly446Ser</t>
  </si>
  <si>
    <t>p.Arg505X</t>
  </si>
  <si>
    <t>p.Asp458Val</t>
  </si>
  <si>
    <t>p.Cys759Phe</t>
  </si>
  <si>
    <t>p.Cys1060Leufs*59</t>
  </si>
  <si>
    <t>p.Arg30X</t>
  </si>
  <si>
    <t>p.Arg1305X</t>
  </si>
  <si>
    <t>p.Ser1147X</t>
  </si>
  <si>
    <t xml:space="preserve">c.448G&gt;C </t>
  </si>
  <si>
    <t>p.Ala150Pro</t>
  </si>
  <si>
    <t>c.3821_3829delinsC</t>
  </si>
  <si>
    <t>p.Gly1274AlafsX16</t>
  </si>
  <si>
    <t>c.1124_1127dup</t>
  </si>
  <si>
    <t>p.Ala378SerfsX30</t>
  </si>
  <si>
    <t>c.1303C&gt;T</t>
  </si>
  <si>
    <t>p.Arg435X</t>
  </si>
  <si>
    <t>p.Arg486Trp</t>
  </si>
  <si>
    <t>c.1456C&gt;T</t>
  </si>
  <si>
    <t>p.Arg317Arg</t>
  </si>
  <si>
    <t>c.949C&gt;A</t>
  </si>
  <si>
    <t>p.Leu348ValfsX53</t>
  </si>
  <si>
    <t>c.1042_1043delCT</t>
  </si>
  <si>
    <t>p.His158Tyr</t>
  </si>
  <si>
    <t>c.472C&gt;T</t>
  </si>
  <si>
    <t>carrier</t>
  </si>
  <si>
    <t>Carrier Status Allele Count</t>
  </si>
  <si>
    <t>Carrier Status Allele Frequency</t>
  </si>
  <si>
    <t>True Positive Cases</t>
  </si>
  <si>
    <t>Positive Cases Frequency</t>
  </si>
  <si>
    <t>Marinesco-Sjogren syndrome</t>
  </si>
  <si>
    <t>21- hydroxylase deficiency</t>
  </si>
  <si>
    <t>Alpha- 1 antitrypsin deficiency</t>
  </si>
  <si>
    <t>Hermansky- Pudlak syndrome</t>
  </si>
  <si>
    <t xml:space="preserve">Hemochromatosis (AR) </t>
  </si>
  <si>
    <t>Alpha-1 antitrypsin deficiency</t>
  </si>
  <si>
    <t>Primary microcephaly</t>
  </si>
  <si>
    <t>Leukoencephalopathy with brain stem and spinal cord involvement and lactate elevation</t>
  </si>
  <si>
    <t>0.00909090909090909</t>
  </si>
  <si>
    <t>Medium-chain¬†acyl-coenzyme¬†A¬†dehydrogenase¬†deficiency</t>
  </si>
  <si>
    <t>0.0181818181818182</t>
  </si>
  <si>
    <t>0.0454545454545455</t>
  </si>
  <si>
    <t>0.0363636363636364</t>
  </si>
  <si>
    <t>0.1</t>
  </si>
  <si>
    <t>Aicardi-Gouti√®res syndrome</t>
  </si>
  <si>
    <t>Reported Disease</t>
  </si>
  <si>
    <t>Positive_rate</t>
  </si>
  <si>
    <t>MT-RNR1</t>
  </si>
  <si>
    <t>FBN1</t>
  </si>
  <si>
    <t>ENG</t>
  </si>
  <si>
    <t>DICER1</t>
  </si>
  <si>
    <t>PHKB</t>
  </si>
  <si>
    <t>G6PD deficient hemolytic anemia (X-linked)</t>
  </si>
  <si>
    <t>c.1039G&gt;A</t>
  </si>
  <si>
    <t>p.Glu347Lys</t>
  </si>
  <si>
    <t>BabyScreen+</t>
  </si>
  <si>
    <t>c.1376G&gt;T</t>
  </si>
  <si>
    <t>p.Ala365Thr</t>
  </si>
  <si>
    <t>c.542A&gt;T</t>
  </si>
  <si>
    <t>Mitochondrial nonsyndromic sensorineural hearing loss</t>
  </si>
  <si>
    <t>m.1494C&gt;T</t>
  </si>
  <si>
    <t>m.1555A&gt;G</t>
  </si>
  <si>
    <t>One Case</t>
  </si>
  <si>
    <t>Malignant hyperthermia susceptibility 1</t>
  </si>
  <si>
    <t>c.1202G&gt;T</t>
  </si>
  <si>
    <t>p.Arg401Leu</t>
  </si>
  <si>
    <t>Marfan syndrome</t>
  </si>
  <si>
    <t>c.5518C&gt;T</t>
  </si>
  <si>
    <t>p.Arg1840Cys</t>
  </si>
  <si>
    <t>GNASa</t>
  </si>
  <si>
    <t>Pseudohypoparathyroidism 1a</t>
  </si>
  <si>
    <t>c.476T&gt;C</t>
  </si>
  <si>
    <t>p.Val159Ala</t>
  </si>
  <si>
    <t>Hereditary hemorrhagic telangiectasia type 1</t>
  </si>
  <si>
    <t>c.1310G&gt;A</t>
  </si>
  <si>
    <t>p.Arg437Gln</t>
  </si>
  <si>
    <t>Autosomal recessive nonsyndromic hearing loss 1A</t>
  </si>
  <si>
    <t>p.Gly12Valfs*2</t>
  </si>
  <si>
    <t>c.583A&gt;G</t>
  </si>
  <si>
    <t>p.Met195Val</t>
  </si>
  <si>
    <t>c.745C&gt;T</t>
  </si>
  <si>
    <t>p.Gln249*</t>
  </si>
  <si>
    <t>DICER1-related tumor predisposition</t>
  </si>
  <si>
    <t>Glycogen storage disease IXb</t>
  </si>
  <si>
    <t>c.1127-2A&gt;G</t>
  </si>
  <si>
    <t>UNC13Dc</t>
  </si>
  <si>
    <t>Familial hemophagocytic lymphohistiocytosis 3</t>
  </si>
  <si>
    <t>c.817C&gt;T</t>
  </si>
  <si>
    <t>p.Arg273*</t>
  </si>
  <si>
    <t>c.627del</t>
  </si>
  <si>
    <t>p.Val210Trpfs*39</t>
  </si>
  <si>
    <t>Familial hemophagocytic lymphohistiocytosis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</si>
</sst>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8"/>
      <name val="Aptos Narrow"/>
      <family val="2"/>
      <scheme val="minor"/>
    </font>
    <font>
      <b/>
      <sz val="17"/>
      <color rgb="FF1B1B1B"/>
      <name val="Cambria"/>
      <family val="1"/>
    </font>
    <font>
      <sz val="17"/>
      <color rgb="FF1B1B1B"/>
      <name val="Cambria"/>
      <family val="1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222222"/>
      <name val="Calibri"/>
      <family val="2"/>
    </font>
    <font>
      <sz val="12"/>
      <color theme="1"/>
      <name val="Calibri"/>
      <family val="2"/>
    </font>
    <font>
      <sz val="12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/>
    <xf numFmtId="4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8" fillId="0" borderId="0" xfId="1" applyFont="1"/>
    <xf numFmtId="0" fontId="7" fillId="0" borderId="0" xfId="1"/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</xf>
  </cellXfs>
  <cellStyles count="3">
    <cellStyle name="Normal" xfId="0" builtinId="0"/>
    <cellStyle name="Normal 2" xfId="1" xr:uid="{B575BC0A-261C-A349-B377-8709CE649453}"/>
    <cellStyle name="Normal 2 2" xfId="2" xr:uid="{95A23560-9629-284B-9782-04EC1A3FA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cbi-n:NM_133378.4/" TargetMode="External"/><Relationship Id="rId3" Type="http://schemas.openxmlformats.org/officeDocument/2006/relationships/hyperlink" Target="http://ncbi-n:NM_000501.3/" TargetMode="External"/><Relationship Id="rId7" Type="http://schemas.openxmlformats.org/officeDocument/2006/relationships/hyperlink" Target="http://ncbi-n:NM_133432.3/" TargetMode="External"/><Relationship Id="rId2" Type="http://schemas.openxmlformats.org/officeDocument/2006/relationships/hyperlink" Target="http://ncbi-n:NM_002389.4/" TargetMode="External"/><Relationship Id="rId1" Type="http://schemas.openxmlformats.org/officeDocument/2006/relationships/hyperlink" Target="http://ncbi-n:NM_000060.2/" TargetMode="External"/><Relationship Id="rId6" Type="http://schemas.openxmlformats.org/officeDocument/2006/relationships/hyperlink" Target="http://ncbi-n:NM_133378.4/" TargetMode="External"/><Relationship Id="rId11" Type="http://schemas.openxmlformats.org/officeDocument/2006/relationships/hyperlink" Target="http://ncbi-n:NM_000060.2/" TargetMode="External"/><Relationship Id="rId5" Type="http://schemas.openxmlformats.org/officeDocument/2006/relationships/hyperlink" Target="http://ncbi-n:NM_000256.3/" TargetMode="External"/><Relationship Id="rId10" Type="http://schemas.openxmlformats.org/officeDocument/2006/relationships/hyperlink" Target="http://ncbi-n:NM_014000.2/" TargetMode="External"/><Relationship Id="rId4" Type="http://schemas.openxmlformats.org/officeDocument/2006/relationships/hyperlink" Target="http://ncbi-n:NM_004700.3/" TargetMode="External"/><Relationship Id="rId9" Type="http://schemas.openxmlformats.org/officeDocument/2006/relationships/hyperlink" Target="http://ncbi-n:NM_133378.4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ncbi-n:NM_133378.4/" TargetMode="External"/><Relationship Id="rId3" Type="http://schemas.openxmlformats.org/officeDocument/2006/relationships/hyperlink" Target="http://ncbi-n:NM_000501.3/" TargetMode="External"/><Relationship Id="rId7" Type="http://schemas.openxmlformats.org/officeDocument/2006/relationships/hyperlink" Target="http://ncbi-n:NM_133432.3/" TargetMode="External"/><Relationship Id="rId2" Type="http://schemas.openxmlformats.org/officeDocument/2006/relationships/hyperlink" Target="http://ncbi-n:NM_002389.4/" TargetMode="External"/><Relationship Id="rId1" Type="http://schemas.openxmlformats.org/officeDocument/2006/relationships/hyperlink" Target="http://ncbi-n:NM_000060.2/" TargetMode="External"/><Relationship Id="rId6" Type="http://schemas.openxmlformats.org/officeDocument/2006/relationships/hyperlink" Target="http://ncbi-n:NM_133378.4/" TargetMode="External"/><Relationship Id="rId11" Type="http://schemas.openxmlformats.org/officeDocument/2006/relationships/hyperlink" Target="http://ncbi-n:NM_000060.2/" TargetMode="External"/><Relationship Id="rId5" Type="http://schemas.openxmlformats.org/officeDocument/2006/relationships/hyperlink" Target="http://ncbi-n:NM_000256.3/" TargetMode="External"/><Relationship Id="rId10" Type="http://schemas.openxmlformats.org/officeDocument/2006/relationships/hyperlink" Target="http://ncbi-n:NM_014000.2/" TargetMode="External"/><Relationship Id="rId4" Type="http://schemas.openxmlformats.org/officeDocument/2006/relationships/hyperlink" Target="http://ncbi-n:NM_004700.3/" TargetMode="External"/><Relationship Id="rId9" Type="http://schemas.openxmlformats.org/officeDocument/2006/relationships/hyperlink" Target="http://ncbi-n:NM_133378.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32CA-B524-D745-881B-406FC7680E48}">
  <dimension ref="A1:J108"/>
  <sheetViews>
    <sheetView tabSelected="1" topLeftCell="A90" zoomScale="184" workbookViewId="0">
      <selection activeCell="B98" sqref="B98"/>
    </sheetView>
  </sheetViews>
  <sheetFormatPr baseColWidth="10" defaultRowHeight="16" x14ac:dyDescent="0.2"/>
  <cols>
    <col min="1" max="1" width="26.5" customWidth="1"/>
    <col min="3" max="3" width="39.6640625" bestFit="1" customWidth="1"/>
    <col min="4" max="4" width="19.33203125" bestFit="1" customWidth="1"/>
    <col min="5" max="5" width="17" style="8" bestFit="1" customWidth="1"/>
    <col min="6" max="6" width="12.5" bestFit="1" customWidth="1"/>
    <col min="7" max="7" width="11.83203125" bestFit="1" customWidth="1"/>
    <col min="8" max="8" width="8.33203125" bestFit="1" customWidth="1"/>
  </cols>
  <sheetData>
    <row r="1" spans="1:8" x14ac:dyDescent="0.2">
      <c r="A1" s="2" t="s">
        <v>1281</v>
      </c>
      <c r="B1" s="2" t="s">
        <v>71</v>
      </c>
      <c r="C1" s="2" t="s">
        <v>45</v>
      </c>
      <c r="D1" s="3" t="s">
        <v>46</v>
      </c>
      <c r="E1" s="7" t="s">
        <v>69</v>
      </c>
      <c r="F1" s="2" t="s">
        <v>68</v>
      </c>
      <c r="G1" s="2" t="s">
        <v>47</v>
      </c>
      <c r="H1" s="2" t="s">
        <v>70</v>
      </c>
    </row>
    <row r="2" spans="1:8" x14ac:dyDescent="0.2">
      <c r="A2" s="4" t="s">
        <v>6</v>
      </c>
      <c r="B2" s="4" t="s">
        <v>7</v>
      </c>
      <c r="C2" s="4" t="s">
        <v>58</v>
      </c>
      <c r="D2" s="4"/>
      <c r="E2" s="4">
        <v>2.599428125812321E-4</v>
      </c>
      <c r="F2" s="4">
        <v>2</v>
      </c>
      <c r="G2" s="4" t="s">
        <v>48</v>
      </c>
      <c r="H2" t="s">
        <v>67</v>
      </c>
    </row>
    <row r="3" spans="1:8" x14ac:dyDescent="0.2">
      <c r="A3" s="4" t="s">
        <v>6</v>
      </c>
      <c r="B3" s="4" t="s">
        <v>7</v>
      </c>
      <c r="C3" s="4" t="s">
        <v>59</v>
      </c>
      <c r="D3" s="4"/>
      <c r="E3" s="4">
        <v>1.2997140629061605E-4</v>
      </c>
      <c r="F3" s="4">
        <v>1</v>
      </c>
      <c r="G3" s="4" t="s">
        <v>48</v>
      </c>
      <c r="H3" t="s">
        <v>67</v>
      </c>
    </row>
    <row r="4" spans="1:8" x14ac:dyDescent="0.2">
      <c r="A4" s="4" t="s">
        <v>6</v>
      </c>
      <c r="B4" s="4" t="s">
        <v>7</v>
      </c>
      <c r="C4" s="4" t="s">
        <v>60</v>
      </c>
      <c r="D4" s="4"/>
      <c r="E4" s="4">
        <v>1.2997140629061605E-4</v>
      </c>
      <c r="F4" s="4">
        <v>1</v>
      </c>
      <c r="G4" s="4" t="s">
        <v>48</v>
      </c>
      <c r="H4" t="s">
        <v>67</v>
      </c>
    </row>
    <row r="5" spans="1:8" x14ac:dyDescent="0.2">
      <c r="A5" s="4" t="s">
        <v>35</v>
      </c>
      <c r="B5" s="4" t="s">
        <v>36</v>
      </c>
      <c r="C5" s="4" t="s">
        <v>40</v>
      </c>
      <c r="D5" s="4"/>
      <c r="E5" s="4">
        <v>1.2997140629061605E-4</v>
      </c>
      <c r="F5" s="4">
        <v>1</v>
      </c>
      <c r="G5" s="4" t="s">
        <v>48</v>
      </c>
      <c r="H5" t="s">
        <v>67</v>
      </c>
    </row>
    <row r="6" spans="1:8" x14ac:dyDescent="0.2">
      <c r="A6" s="4" t="s">
        <v>35</v>
      </c>
      <c r="B6" s="4" t="s">
        <v>36</v>
      </c>
      <c r="C6" s="4" t="s">
        <v>38</v>
      </c>
      <c r="D6" s="4"/>
      <c r="E6" s="4">
        <v>1.2997140629061605E-4</v>
      </c>
      <c r="F6" s="4">
        <v>1</v>
      </c>
      <c r="G6" s="4" t="s">
        <v>48</v>
      </c>
      <c r="H6" t="s">
        <v>67</v>
      </c>
    </row>
    <row r="7" spans="1:8" x14ac:dyDescent="0.2">
      <c r="A7" s="4" t="s">
        <v>35</v>
      </c>
      <c r="B7" s="4" t="s">
        <v>36</v>
      </c>
      <c r="C7" s="4" t="s">
        <v>39</v>
      </c>
      <c r="D7" s="4"/>
      <c r="E7" s="4">
        <v>1.2997140629061605E-4</v>
      </c>
      <c r="F7" s="4">
        <v>1</v>
      </c>
      <c r="G7" s="4" t="s">
        <v>48</v>
      </c>
      <c r="H7" t="s">
        <v>67</v>
      </c>
    </row>
    <row r="8" spans="1:8" x14ac:dyDescent="0.2">
      <c r="A8" s="4" t="s">
        <v>35</v>
      </c>
      <c r="B8" s="4" t="s">
        <v>36</v>
      </c>
      <c r="C8" s="4" t="s">
        <v>37</v>
      </c>
      <c r="D8" s="4"/>
      <c r="E8" s="4">
        <v>2.599428125812321E-4</v>
      </c>
      <c r="F8" s="4">
        <v>2</v>
      </c>
      <c r="G8" s="4" t="s">
        <v>48</v>
      </c>
      <c r="H8" t="s">
        <v>67</v>
      </c>
    </row>
    <row r="9" spans="1:8" x14ac:dyDescent="0.2">
      <c r="A9" s="4" t="s">
        <v>31</v>
      </c>
      <c r="B9" s="4" t="s">
        <v>32</v>
      </c>
      <c r="C9" s="4" t="s">
        <v>34</v>
      </c>
      <c r="D9" s="4"/>
      <c r="E9" s="4">
        <v>1.2997140629061605E-4</v>
      </c>
      <c r="F9" s="4">
        <v>1</v>
      </c>
      <c r="G9" s="4" t="s">
        <v>48</v>
      </c>
      <c r="H9" t="s">
        <v>67</v>
      </c>
    </row>
    <row r="10" spans="1:8" x14ac:dyDescent="0.2">
      <c r="A10" s="4" t="s">
        <v>31</v>
      </c>
      <c r="B10" s="4" t="s">
        <v>32</v>
      </c>
      <c r="C10" s="4" t="s">
        <v>33</v>
      </c>
      <c r="D10" s="4"/>
      <c r="E10" s="4">
        <v>1.2997140629061605E-4</v>
      </c>
      <c r="F10" s="4">
        <v>1</v>
      </c>
      <c r="G10" s="4" t="s">
        <v>48</v>
      </c>
      <c r="H10" t="s">
        <v>67</v>
      </c>
    </row>
    <row r="11" spans="1:8" x14ac:dyDescent="0.2">
      <c r="A11" s="4" t="s">
        <v>15</v>
      </c>
      <c r="B11" s="4" t="s">
        <v>16</v>
      </c>
      <c r="C11" s="4" t="s">
        <v>52</v>
      </c>
      <c r="D11" s="4"/>
      <c r="E11" s="4">
        <v>1.2997140629061605E-4</v>
      </c>
      <c r="F11" s="4">
        <v>1</v>
      </c>
      <c r="G11" s="4" t="s">
        <v>48</v>
      </c>
      <c r="H11" t="s">
        <v>67</v>
      </c>
    </row>
    <row r="12" spans="1:8" x14ac:dyDescent="0.2">
      <c r="A12" s="4" t="s">
        <v>15</v>
      </c>
      <c r="B12" s="4" t="s">
        <v>16</v>
      </c>
      <c r="C12" s="4" t="s">
        <v>53</v>
      </c>
      <c r="D12" s="4"/>
      <c r="E12" s="4">
        <v>1.2997140629061605E-4</v>
      </c>
      <c r="F12" s="4">
        <v>1</v>
      </c>
      <c r="G12" s="4" t="s">
        <v>48</v>
      </c>
      <c r="H12" t="s">
        <v>67</v>
      </c>
    </row>
    <row r="13" spans="1:8" x14ac:dyDescent="0.2">
      <c r="A13" s="4" t="s">
        <v>8</v>
      </c>
      <c r="B13" s="4" t="s">
        <v>9</v>
      </c>
      <c r="C13" s="4" t="s">
        <v>61</v>
      </c>
      <c r="D13" s="4"/>
      <c r="E13" s="4">
        <v>9.0979984403431247E-4</v>
      </c>
      <c r="F13" s="4">
        <v>7</v>
      </c>
      <c r="G13" s="4" t="s">
        <v>48</v>
      </c>
      <c r="H13" t="s">
        <v>67</v>
      </c>
    </row>
    <row r="14" spans="1:8" x14ac:dyDescent="0.2">
      <c r="A14" s="4" t="s">
        <v>8</v>
      </c>
      <c r="B14" s="4" t="s">
        <v>9</v>
      </c>
      <c r="C14" s="4" t="s">
        <v>51</v>
      </c>
      <c r="D14" s="4"/>
      <c r="E14" s="4">
        <v>2.599428125812321E-4</v>
      </c>
      <c r="F14" s="4">
        <v>2</v>
      </c>
      <c r="G14" s="4" t="s">
        <v>48</v>
      </c>
      <c r="H14" t="s">
        <v>67</v>
      </c>
    </row>
    <row r="15" spans="1:8" x14ac:dyDescent="0.2">
      <c r="A15" s="4" t="s">
        <v>8</v>
      </c>
      <c r="B15" s="4" t="s">
        <v>9</v>
      </c>
      <c r="C15" s="4" t="s">
        <v>62</v>
      </c>
      <c r="D15" s="4"/>
      <c r="E15" s="4">
        <v>1.2997140629061605E-4</v>
      </c>
      <c r="F15" s="4">
        <v>1</v>
      </c>
      <c r="G15" s="4" t="s">
        <v>48</v>
      </c>
      <c r="H15" t="s">
        <v>67</v>
      </c>
    </row>
    <row r="16" spans="1:8" x14ac:dyDescent="0.2">
      <c r="A16" s="4" t="s">
        <v>25</v>
      </c>
      <c r="B16" s="4" t="s">
        <v>26</v>
      </c>
      <c r="C16" s="4" t="s">
        <v>27</v>
      </c>
      <c r="D16" s="4"/>
      <c r="E16" s="4">
        <v>1.2997140629061605E-4</v>
      </c>
      <c r="F16" s="4">
        <v>1</v>
      </c>
      <c r="G16" s="4" t="s">
        <v>48</v>
      </c>
      <c r="H16" t="s">
        <v>67</v>
      </c>
    </row>
    <row r="17" spans="1:8" x14ac:dyDescent="0.2">
      <c r="A17" s="4" t="s">
        <v>1</v>
      </c>
      <c r="B17" s="4" t="s">
        <v>2</v>
      </c>
      <c r="C17" s="4" t="s">
        <v>57</v>
      </c>
      <c r="D17" s="4"/>
      <c r="E17" s="4">
        <v>1.2997140629061605E-4</v>
      </c>
      <c r="F17" s="4">
        <v>1</v>
      </c>
      <c r="G17" s="4" t="s">
        <v>48</v>
      </c>
      <c r="H17" t="s">
        <v>67</v>
      </c>
    </row>
    <row r="18" spans="1:8" x14ac:dyDescent="0.2">
      <c r="A18" s="4" t="s">
        <v>1</v>
      </c>
      <c r="B18" s="4" t="s">
        <v>2</v>
      </c>
      <c r="C18" s="4" t="s">
        <v>56</v>
      </c>
      <c r="D18" s="4"/>
      <c r="E18" s="4">
        <v>1.2997140629061605E-4</v>
      </c>
      <c r="F18" s="4">
        <v>1</v>
      </c>
      <c r="G18" s="4" t="s">
        <v>48</v>
      </c>
      <c r="H18" t="s">
        <v>67</v>
      </c>
    </row>
    <row r="19" spans="1:8" x14ac:dyDescent="0.2">
      <c r="A19" s="4" t="s">
        <v>1</v>
      </c>
      <c r="B19" s="4" t="s">
        <v>2</v>
      </c>
      <c r="C19" s="4" t="s">
        <v>3</v>
      </c>
      <c r="D19" s="4"/>
      <c r="E19" s="4">
        <v>1.2997140629061605E-4</v>
      </c>
      <c r="F19" s="4">
        <v>1</v>
      </c>
      <c r="G19" s="4" t="s">
        <v>48</v>
      </c>
      <c r="H19" t="s">
        <v>67</v>
      </c>
    </row>
    <row r="20" spans="1:8" x14ac:dyDescent="0.2">
      <c r="A20" s="4" t="s">
        <v>1</v>
      </c>
      <c r="B20" s="4" t="s">
        <v>2</v>
      </c>
      <c r="C20" s="4" t="s">
        <v>65</v>
      </c>
      <c r="D20" s="4"/>
      <c r="E20" s="4">
        <v>5.198856251624643E-3</v>
      </c>
      <c r="F20" s="4">
        <v>40</v>
      </c>
      <c r="G20" s="4" t="s">
        <v>48</v>
      </c>
      <c r="H20" t="s">
        <v>67</v>
      </c>
    </row>
    <row r="21" spans="1:8" x14ac:dyDescent="0.2">
      <c r="A21" s="4" t="s">
        <v>1</v>
      </c>
      <c r="B21" s="4" t="s">
        <v>2</v>
      </c>
      <c r="C21" s="4" t="s">
        <v>66</v>
      </c>
      <c r="D21" s="4"/>
      <c r="E21" s="4">
        <v>5.198856251624643E-3</v>
      </c>
      <c r="F21" s="4">
        <v>40</v>
      </c>
      <c r="G21" s="4" t="s">
        <v>48</v>
      </c>
      <c r="H21" t="s">
        <v>67</v>
      </c>
    </row>
    <row r="22" spans="1:8" x14ac:dyDescent="0.2">
      <c r="A22" s="4" t="s">
        <v>1</v>
      </c>
      <c r="B22" s="4" t="s">
        <v>2</v>
      </c>
      <c r="C22" s="4" t="s">
        <v>4</v>
      </c>
      <c r="D22" s="4"/>
      <c r="E22" s="4">
        <v>2.599428125812321E-4</v>
      </c>
      <c r="F22" s="4">
        <v>2</v>
      </c>
      <c r="G22" s="4" t="s">
        <v>48</v>
      </c>
      <c r="H22" t="s">
        <v>67</v>
      </c>
    </row>
    <row r="23" spans="1:8" x14ac:dyDescent="0.2">
      <c r="A23" s="4" t="s">
        <v>1</v>
      </c>
      <c r="B23" s="4" t="s">
        <v>2</v>
      </c>
      <c r="C23" s="4" t="s">
        <v>5</v>
      </c>
      <c r="D23" s="4"/>
      <c r="E23" s="4">
        <v>5.1988562516246421E-4</v>
      </c>
      <c r="F23" s="4">
        <v>4</v>
      </c>
      <c r="G23" s="4" t="s">
        <v>48</v>
      </c>
      <c r="H23" t="s">
        <v>67</v>
      </c>
    </row>
    <row r="24" spans="1:8" x14ac:dyDescent="0.2">
      <c r="A24" s="4" t="s">
        <v>1</v>
      </c>
      <c r="B24" s="4" t="s">
        <v>2</v>
      </c>
      <c r="C24" s="4" t="s">
        <v>12</v>
      </c>
      <c r="D24" s="4"/>
      <c r="E24" s="4">
        <v>1.2997140629061605E-4</v>
      </c>
      <c r="F24" s="4">
        <v>1</v>
      </c>
      <c r="G24" s="4" t="s">
        <v>48</v>
      </c>
      <c r="H24" t="s">
        <v>67</v>
      </c>
    </row>
    <row r="25" spans="1:8" x14ac:dyDescent="0.2">
      <c r="A25" s="4" t="s">
        <v>43</v>
      </c>
      <c r="B25" s="4" t="s">
        <v>44</v>
      </c>
      <c r="C25" s="4" t="s">
        <v>49</v>
      </c>
      <c r="D25" s="4"/>
      <c r="E25" s="4">
        <v>5.1988562516246421E-4</v>
      </c>
      <c r="F25" s="4">
        <v>4</v>
      </c>
      <c r="G25" s="4" t="s">
        <v>48</v>
      </c>
      <c r="H25" t="s">
        <v>67</v>
      </c>
    </row>
    <row r="26" spans="1:8" x14ac:dyDescent="0.2">
      <c r="A26" s="4" t="s">
        <v>17</v>
      </c>
      <c r="B26" s="4" t="s">
        <v>18</v>
      </c>
      <c r="C26" s="4" t="s">
        <v>19</v>
      </c>
      <c r="D26" s="4"/>
      <c r="E26" s="4">
        <v>1.2997140629061605E-4</v>
      </c>
      <c r="F26" s="4">
        <v>1</v>
      </c>
      <c r="G26" s="4" t="s">
        <v>48</v>
      </c>
      <c r="H26" t="s">
        <v>67</v>
      </c>
    </row>
    <row r="27" spans="1:8" x14ac:dyDescent="0.2">
      <c r="A27" s="4" t="s">
        <v>17</v>
      </c>
      <c r="B27" s="4" t="s">
        <v>18</v>
      </c>
      <c r="C27" s="4" t="s">
        <v>20</v>
      </c>
      <c r="D27" s="4"/>
      <c r="E27" s="4">
        <v>1.2997140629061605E-4</v>
      </c>
      <c r="F27" s="4">
        <v>1</v>
      </c>
      <c r="G27" s="4" t="s">
        <v>48</v>
      </c>
      <c r="H27" t="s">
        <v>67</v>
      </c>
    </row>
    <row r="28" spans="1:8" x14ac:dyDescent="0.2">
      <c r="A28" s="4" t="s">
        <v>21</v>
      </c>
      <c r="B28" s="4" t="s">
        <v>22</v>
      </c>
      <c r="C28" s="4" t="s">
        <v>24</v>
      </c>
      <c r="D28" s="4"/>
      <c r="E28" s="4">
        <v>1.2997140629061605E-4</v>
      </c>
      <c r="F28" s="4">
        <v>1</v>
      </c>
      <c r="G28" s="4" t="s">
        <v>48</v>
      </c>
      <c r="H28" t="s">
        <v>67</v>
      </c>
    </row>
    <row r="29" spans="1:8" x14ac:dyDescent="0.2">
      <c r="A29" s="4" t="s">
        <v>21</v>
      </c>
      <c r="B29" s="4" t="s">
        <v>22</v>
      </c>
      <c r="C29" s="4" t="s">
        <v>23</v>
      </c>
      <c r="D29" s="4"/>
      <c r="E29" s="4">
        <v>1.2997140629061605E-4</v>
      </c>
      <c r="F29" s="4">
        <v>1</v>
      </c>
      <c r="G29" s="4" t="s">
        <v>48</v>
      </c>
      <c r="H29" t="s">
        <v>67</v>
      </c>
    </row>
    <row r="30" spans="1:8" x14ac:dyDescent="0.2">
      <c r="A30" s="4" t="s">
        <v>28</v>
      </c>
      <c r="B30" s="4" t="s">
        <v>29</v>
      </c>
      <c r="C30" s="4" t="s">
        <v>30</v>
      </c>
      <c r="D30" s="4"/>
      <c r="E30" s="4">
        <v>1.2997140629061605E-4</v>
      </c>
      <c r="F30" s="4">
        <v>1</v>
      </c>
      <c r="G30" s="4" t="s">
        <v>48</v>
      </c>
      <c r="H30" t="s">
        <v>67</v>
      </c>
    </row>
    <row r="31" spans="1:8" x14ac:dyDescent="0.2">
      <c r="A31" s="4" t="s">
        <v>10</v>
      </c>
      <c r="B31" s="4" t="s">
        <v>11</v>
      </c>
      <c r="C31" s="4" t="s">
        <v>63</v>
      </c>
      <c r="D31" s="4"/>
      <c r="E31" s="4">
        <v>1.2997140629061605E-4</v>
      </c>
      <c r="F31" s="4">
        <v>1</v>
      </c>
      <c r="G31" s="4" t="s">
        <v>48</v>
      </c>
      <c r="H31" t="s">
        <v>67</v>
      </c>
    </row>
    <row r="32" spans="1:8" x14ac:dyDescent="0.2">
      <c r="A32" s="4" t="s">
        <v>10</v>
      </c>
      <c r="B32" s="4" t="s">
        <v>11</v>
      </c>
      <c r="C32" s="4" t="s">
        <v>64</v>
      </c>
      <c r="D32" s="4"/>
      <c r="E32" s="4">
        <v>1.2997140629061605E-4</v>
      </c>
      <c r="F32" s="4">
        <v>1</v>
      </c>
      <c r="G32" s="4" t="s">
        <v>48</v>
      </c>
      <c r="H32" t="s">
        <v>67</v>
      </c>
    </row>
    <row r="33" spans="1:10" x14ac:dyDescent="0.2">
      <c r="A33" s="4" t="s">
        <v>13</v>
      </c>
      <c r="B33" s="4" t="s">
        <v>14</v>
      </c>
      <c r="C33" s="4" t="s">
        <v>55</v>
      </c>
      <c r="D33" s="4"/>
      <c r="E33" s="4">
        <v>1.2997140629061605E-4</v>
      </c>
      <c r="F33" s="4">
        <v>1</v>
      </c>
      <c r="G33" s="4" t="s">
        <v>48</v>
      </c>
      <c r="H33" t="s">
        <v>67</v>
      </c>
    </row>
    <row r="34" spans="1:10" x14ac:dyDescent="0.2">
      <c r="A34" s="4" t="s">
        <v>13</v>
      </c>
      <c r="B34" s="4" t="s">
        <v>14</v>
      </c>
      <c r="C34" s="4" t="s">
        <v>54</v>
      </c>
      <c r="D34" s="4"/>
      <c r="E34" s="4">
        <v>1.2997140629061605E-4</v>
      </c>
      <c r="F34" s="4">
        <v>1</v>
      </c>
      <c r="G34" s="4" t="s">
        <v>48</v>
      </c>
      <c r="H34" t="s">
        <v>67</v>
      </c>
    </row>
    <row r="35" spans="1:10" x14ac:dyDescent="0.2">
      <c r="A35" s="4" t="s">
        <v>41</v>
      </c>
      <c r="B35" s="4" t="s">
        <v>42</v>
      </c>
      <c r="C35" s="4" t="s">
        <v>50</v>
      </c>
      <c r="D35" s="4"/>
      <c r="E35" s="4">
        <v>2.599428125812321E-4</v>
      </c>
      <c r="F35" s="4">
        <v>2</v>
      </c>
      <c r="G35" s="4" t="s">
        <v>48</v>
      </c>
      <c r="H35" t="s">
        <v>67</v>
      </c>
      <c r="I35" s="4"/>
      <c r="J35" s="4"/>
    </row>
    <row r="36" spans="1:10" x14ac:dyDescent="0.2">
      <c r="A36" s="4" t="s">
        <v>74</v>
      </c>
      <c r="B36" s="4" t="s">
        <v>124</v>
      </c>
      <c r="C36" s="4" t="s">
        <v>73</v>
      </c>
      <c r="D36" s="4" t="s">
        <v>128</v>
      </c>
      <c r="E36" s="4">
        <v>3.937007874015748E-3</v>
      </c>
      <c r="F36" s="4">
        <v>1</v>
      </c>
      <c r="G36" s="4" t="s">
        <v>100</v>
      </c>
      <c r="H36" s="4" t="s">
        <v>67</v>
      </c>
      <c r="I36" s="4"/>
      <c r="J36" s="4"/>
    </row>
    <row r="37" spans="1:10" x14ac:dyDescent="0.2">
      <c r="A37" s="4" t="s">
        <v>77</v>
      </c>
      <c r="B37" s="4" t="s">
        <v>75</v>
      </c>
      <c r="C37" s="4" t="s">
        <v>76</v>
      </c>
      <c r="D37" s="4"/>
      <c r="E37" s="4">
        <v>3.937007874015748E-3</v>
      </c>
      <c r="F37" s="4">
        <v>1</v>
      </c>
      <c r="G37" s="4" t="s">
        <v>100</v>
      </c>
      <c r="H37" s="4" t="s">
        <v>67</v>
      </c>
      <c r="I37" s="4"/>
      <c r="J37" s="4"/>
    </row>
    <row r="38" spans="1:10" x14ac:dyDescent="0.2">
      <c r="A38" s="4" t="s">
        <v>77</v>
      </c>
      <c r="B38" s="4" t="s">
        <v>75</v>
      </c>
      <c r="C38" s="4" t="s">
        <v>78</v>
      </c>
      <c r="D38" s="4" t="s">
        <v>129</v>
      </c>
      <c r="E38" s="4">
        <v>3.937007874015748E-3</v>
      </c>
      <c r="F38" s="4">
        <v>1</v>
      </c>
      <c r="G38" s="4" t="s">
        <v>100</v>
      </c>
      <c r="H38" s="4" t="s">
        <v>67</v>
      </c>
      <c r="I38" s="4"/>
      <c r="J38" s="4"/>
    </row>
    <row r="39" spans="1:10" x14ac:dyDescent="0.2">
      <c r="A39" s="4" t="s">
        <v>81</v>
      </c>
      <c r="B39" s="4" t="s">
        <v>79</v>
      </c>
      <c r="C39" s="4" t="s">
        <v>80</v>
      </c>
      <c r="D39" s="4"/>
      <c r="E39" s="4">
        <v>3.937007874015748E-3</v>
      </c>
      <c r="F39" s="4">
        <v>1</v>
      </c>
      <c r="G39" s="4" t="s">
        <v>100</v>
      </c>
      <c r="H39" s="4" t="s">
        <v>67</v>
      </c>
      <c r="I39" s="4"/>
      <c r="J39" s="4"/>
    </row>
    <row r="40" spans="1:10" x14ac:dyDescent="0.2">
      <c r="A40" s="4" t="s">
        <v>84</v>
      </c>
      <c r="B40" s="4" t="s">
        <v>82</v>
      </c>
      <c r="C40" s="4" t="s">
        <v>83</v>
      </c>
      <c r="D40" s="4" t="s">
        <v>130</v>
      </c>
      <c r="E40" s="4">
        <v>3.937007874015748E-3</v>
      </c>
      <c r="F40" s="4">
        <v>1</v>
      </c>
      <c r="G40" s="4" t="s">
        <v>100</v>
      </c>
      <c r="H40" s="4" t="s">
        <v>67</v>
      </c>
      <c r="I40" s="4"/>
      <c r="J40" s="4"/>
    </row>
    <row r="41" spans="1:10" x14ac:dyDescent="0.2">
      <c r="A41" s="4" t="s">
        <v>87</v>
      </c>
      <c r="B41" s="4" t="s">
        <v>85</v>
      </c>
      <c r="C41" s="4" t="s">
        <v>86</v>
      </c>
      <c r="D41" s="4" t="s">
        <v>131</v>
      </c>
      <c r="E41" s="4">
        <v>3.937007874015748E-3</v>
      </c>
      <c r="F41" s="4">
        <v>1</v>
      </c>
      <c r="G41" s="4" t="s">
        <v>100</v>
      </c>
      <c r="H41" s="4" t="s">
        <v>67</v>
      </c>
      <c r="I41" s="4"/>
      <c r="J41" s="4"/>
    </row>
    <row r="42" spans="1:10" x14ac:dyDescent="0.2">
      <c r="A42" s="4" t="s">
        <v>90</v>
      </c>
      <c r="B42" s="4" t="s">
        <v>88</v>
      </c>
      <c r="C42" s="4" t="s">
        <v>89</v>
      </c>
      <c r="D42" s="4" t="s">
        <v>132</v>
      </c>
      <c r="E42" s="4">
        <v>3.937007874015748E-3</v>
      </c>
      <c r="F42" s="4">
        <v>1</v>
      </c>
      <c r="G42" s="4" t="s">
        <v>100</v>
      </c>
      <c r="H42" s="4" t="s">
        <v>67</v>
      </c>
      <c r="I42" s="4"/>
      <c r="J42" s="4"/>
    </row>
    <row r="43" spans="1:10" x14ac:dyDescent="0.2">
      <c r="A43" s="4" t="s">
        <v>93</v>
      </c>
      <c r="B43" s="4" t="s">
        <v>91</v>
      </c>
      <c r="C43" s="4" t="s">
        <v>92</v>
      </c>
      <c r="D43" s="4" t="s">
        <v>133</v>
      </c>
      <c r="E43" s="4">
        <v>3.937007874015748E-3</v>
      </c>
      <c r="F43" s="4">
        <v>1</v>
      </c>
      <c r="G43" s="4" t="s">
        <v>100</v>
      </c>
      <c r="H43" s="4" t="s">
        <v>67</v>
      </c>
      <c r="I43" s="4"/>
      <c r="J43" s="4"/>
    </row>
    <row r="44" spans="1:10" x14ac:dyDescent="0.2">
      <c r="A44" s="4" t="s">
        <v>93</v>
      </c>
      <c r="B44" s="4" t="s">
        <v>91</v>
      </c>
      <c r="C44" s="4" t="s">
        <v>94</v>
      </c>
      <c r="D44" s="4" t="s">
        <v>134</v>
      </c>
      <c r="E44" s="4">
        <v>3.937007874015748E-3</v>
      </c>
      <c r="F44" s="4">
        <v>1</v>
      </c>
      <c r="G44" s="4" t="s">
        <v>100</v>
      </c>
      <c r="H44" s="4" t="s">
        <v>67</v>
      </c>
      <c r="I44" s="4"/>
      <c r="J44" s="4"/>
    </row>
    <row r="45" spans="1:10" x14ac:dyDescent="0.2">
      <c r="A45" s="4" t="s">
        <v>93</v>
      </c>
      <c r="B45" s="4" t="s">
        <v>91</v>
      </c>
      <c r="C45" s="4" t="s">
        <v>95</v>
      </c>
      <c r="D45" s="4" t="s">
        <v>135</v>
      </c>
      <c r="E45" s="4">
        <v>3.937007874015748E-3</v>
      </c>
      <c r="F45" s="4">
        <v>1</v>
      </c>
      <c r="G45" s="4" t="s">
        <v>100</v>
      </c>
      <c r="H45" s="4" t="s">
        <v>67</v>
      </c>
      <c r="I45" s="4"/>
      <c r="J45" s="4"/>
    </row>
    <row r="46" spans="1:10" x14ac:dyDescent="0.2">
      <c r="A46" s="4" t="s">
        <v>93</v>
      </c>
      <c r="B46" s="4" t="s">
        <v>91</v>
      </c>
      <c r="C46" s="4" t="s">
        <v>96</v>
      </c>
      <c r="D46" s="4" t="s">
        <v>136</v>
      </c>
      <c r="E46" s="4">
        <v>3.937007874015748E-3</v>
      </c>
      <c r="F46" s="4">
        <v>1</v>
      </c>
      <c r="G46" s="4" t="s">
        <v>100</v>
      </c>
      <c r="H46" s="4" t="s">
        <v>67</v>
      </c>
      <c r="I46" s="4"/>
      <c r="J46" s="4"/>
    </row>
    <row r="47" spans="1:10" x14ac:dyDescent="0.2">
      <c r="A47" s="4" t="s">
        <v>93</v>
      </c>
      <c r="B47" s="4" t="s">
        <v>97</v>
      </c>
      <c r="C47" s="4" t="s">
        <v>98</v>
      </c>
      <c r="D47" s="4" t="s">
        <v>137</v>
      </c>
      <c r="E47" s="4">
        <v>3.937007874015748E-3</v>
      </c>
      <c r="F47" s="4">
        <v>1</v>
      </c>
      <c r="G47" s="4" t="s">
        <v>100</v>
      </c>
      <c r="H47" s="4" t="s">
        <v>67</v>
      </c>
      <c r="I47" s="4"/>
      <c r="J47" s="4"/>
    </row>
    <row r="48" spans="1:10" x14ac:dyDescent="0.2">
      <c r="A48" s="4" t="s">
        <v>102</v>
      </c>
      <c r="B48" s="4" t="s">
        <v>101</v>
      </c>
      <c r="C48" s="4" t="s">
        <v>103</v>
      </c>
      <c r="D48" s="4" t="s">
        <v>104</v>
      </c>
      <c r="E48" s="4">
        <v>8.1967213114754103E-3</v>
      </c>
      <c r="F48" s="4">
        <v>1</v>
      </c>
      <c r="G48" s="4" t="s">
        <v>138</v>
      </c>
      <c r="H48" s="4" t="s">
        <v>67</v>
      </c>
      <c r="I48" s="4"/>
      <c r="J48" s="4"/>
    </row>
    <row r="49" spans="1:10" x14ac:dyDescent="0.2">
      <c r="A49" s="4" t="s">
        <v>106</v>
      </c>
      <c r="B49" s="4" t="s">
        <v>105</v>
      </c>
      <c r="C49" s="4" t="s">
        <v>107</v>
      </c>
      <c r="D49" s="4" t="s">
        <v>108</v>
      </c>
      <c r="E49" s="4">
        <v>8.1967213114754103E-3</v>
      </c>
      <c r="F49" s="4">
        <v>1</v>
      </c>
      <c r="G49" s="4" t="s">
        <v>138</v>
      </c>
      <c r="H49" s="4" t="s">
        <v>67</v>
      </c>
      <c r="I49" s="4"/>
      <c r="J49" s="4"/>
    </row>
    <row r="50" spans="1:10" x14ac:dyDescent="0.2">
      <c r="A50" s="4" t="s">
        <v>110</v>
      </c>
      <c r="B50" s="4" t="s">
        <v>109</v>
      </c>
      <c r="C50" s="4" t="s">
        <v>111</v>
      </c>
      <c r="D50" s="4" t="s">
        <v>112</v>
      </c>
      <c r="E50" s="4">
        <v>8.1967213114754103E-3</v>
      </c>
      <c r="F50" s="4">
        <v>1</v>
      </c>
      <c r="G50" s="4" t="s">
        <v>138</v>
      </c>
      <c r="H50" s="4" t="s">
        <v>67</v>
      </c>
      <c r="I50" s="4"/>
      <c r="J50" s="4"/>
    </row>
    <row r="51" spans="1:10" x14ac:dyDescent="0.2">
      <c r="A51" s="4" t="s">
        <v>110</v>
      </c>
      <c r="B51" s="4" t="s">
        <v>109</v>
      </c>
      <c r="C51" s="4" t="s">
        <v>113</v>
      </c>
      <c r="D51" s="4" t="s">
        <v>114</v>
      </c>
      <c r="E51" s="4">
        <v>8.1967213114754103E-3</v>
      </c>
      <c r="F51" s="4">
        <v>1</v>
      </c>
      <c r="G51" s="4" t="s">
        <v>138</v>
      </c>
      <c r="H51" s="4" t="s">
        <v>67</v>
      </c>
      <c r="I51" s="4"/>
      <c r="J51" s="4"/>
    </row>
    <row r="52" spans="1:10" x14ac:dyDescent="0.2">
      <c r="A52" s="4" t="s">
        <v>116</v>
      </c>
      <c r="B52" s="4" t="s">
        <v>115</v>
      </c>
      <c r="C52" s="4" t="s">
        <v>117</v>
      </c>
      <c r="D52" s="4"/>
      <c r="E52" s="4">
        <v>8.1967213114754103E-3</v>
      </c>
      <c r="F52" s="4">
        <v>1</v>
      </c>
      <c r="G52" s="4" t="s">
        <v>138</v>
      </c>
      <c r="H52" s="4" t="s">
        <v>67</v>
      </c>
      <c r="I52" s="4"/>
      <c r="J52" s="4"/>
    </row>
    <row r="53" spans="1:10" x14ac:dyDescent="0.2">
      <c r="A53" s="4" t="s">
        <v>119</v>
      </c>
      <c r="B53" s="4" t="s">
        <v>118</v>
      </c>
      <c r="C53" s="4" t="s">
        <v>120</v>
      </c>
      <c r="D53" s="4" t="s">
        <v>127</v>
      </c>
      <c r="E53" s="4">
        <v>8.1967213114754103E-3</v>
      </c>
      <c r="F53" s="4">
        <v>1</v>
      </c>
      <c r="G53" s="4" t="s">
        <v>138</v>
      </c>
      <c r="H53" s="4" t="s">
        <v>67</v>
      </c>
      <c r="I53" s="4"/>
      <c r="J53" s="4"/>
    </row>
    <row r="54" spans="1:10" x14ac:dyDescent="0.2">
      <c r="A54" s="4" t="s">
        <v>122</v>
      </c>
      <c r="B54" s="4" t="s">
        <v>121</v>
      </c>
      <c r="C54" s="4" t="s">
        <v>123</v>
      </c>
      <c r="D54" s="4"/>
      <c r="E54" s="4">
        <v>8.1967213114754103E-3</v>
      </c>
      <c r="F54" s="4">
        <v>1</v>
      </c>
      <c r="G54" s="4" t="s">
        <v>138</v>
      </c>
      <c r="H54" s="4" t="s">
        <v>67</v>
      </c>
      <c r="I54" s="4"/>
      <c r="J54" s="4"/>
    </row>
    <row r="55" spans="1:10" x14ac:dyDescent="0.2">
      <c r="A55" s="4" t="s">
        <v>74</v>
      </c>
      <c r="B55" s="4" t="s">
        <v>124</v>
      </c>
      <c r="C55" s="4" t="s">
        <v>125</v>
      </c>
      <c r="D55" s="4" t="s">
        <v>126</v>
      </c>
      <c r="E55" s="4">
        <v>8.1967213114754103E-3</v>
      </c>
      <c r="F55" s="4">
        <v>1</v>
      </c>
      <c r="G55" s="4" t="s">
        <v>138</v>
      </c>
      <c r="H55" s="4" t="s">
        <v>67</v>
      </c>
      <c r="I55" s="4"/>
      <c r="J55" s="4"/>
    </row>
    <row r="56" spans="1:10" x14ac:dyDescent="0.2">
      <c r="A56" s="10" t="s">
        <v>139</v>
      </c>
      <c r="B56" s="10" t="s">
        <v>2</v>
      </c>
      <c r="C56" s="10" t="s">
        <v>140</v>
      </c>
      <c r="D56" s="10" t="s">
        <v>141</v>
      </c>
      <c r="E56" s="10">
        <v>2.3E-2</v>
      </c>
      <c r="F56" s="10">
        <v>92</v>
      </c>
      <c r="G56" s="10" t="s">
        <v>241</v>
      </c>
      <c r="H56" s="10" t="s">
        <v>242</v>
      </c>
      <c r="I56" s="10"/>
    </row>
    <row r="57" spans="1:10" x14ac:dyDescent="0.2">
      <c r="A57" s="10" t="s">
        <v>139</v>
      </c>
      <c r="B57" s="10" t="s">
        <v>2</v>
      </c>
      <c r="C57" s="10" t="s">
        <v>142</v>
      </c>
      <c r="D57" s="10" t="s">
        <v>143</v>
      </c>
      <c r="E57" s="10">
        <v>2.3E-2</v>
      </c>
      <c r="F57" s="10">
        <v>92</v>
      </c>
      <c r="G57" s="10" t="s">
        <v>241</v>
      </c>
      <c r="H57" s="10" t="s">
        <v>242</v>
      </c>
      <c r="I57" s="10"/>
    </row>
    <row r="58" spans="1:10" x14ac:dyDescent="0.2">
      <c r="A58" s="10" t="s">
        <v>139</v>
      </c>
      <c r="B58" s="10" t="s">
        <v>2</v>
      </c>
      <c r="C58" s="10" t="s">
        <v>144</v>
      </c>
      <c r="D58" s="10" t="s">
        <v>145</v>
      </c>
      <c r="E58" s="10">
        <v>2.3E-2</v>
      </c>
      <c r="F58" s="10">
        <v>92</v>
      </c>
      <c r="G58" s="10" t="s">
        <v>241</v>
      </c>
      <c r="H58" s="10" t="s">
        <v>242</v>
      </c>
      <c r="I58" s="10"/>
    </row>
    <row r="59" spans="1:10" x14ac:dyDescent="0.2">
      <c r="A59" s="10" t="s">
        <v>139</v>
      </c>
      <c r="B59" s="10" t="s">
        <v>2</v>
      </c>
      <c r="C59" s="10" t="s">
        <v>146</v>
      </c>
      <c r="D59" s="10" t="s">
        <v>147</v>
      </c>
      <c r="E59" s="10">
        <v>2.3E-2</v>
      </c>
      <c r="F59" s="10">
        <v>92</v>
      </c>
      <c r="G59" s="10" t="s">
        <v>241</v>
      </c>
      <c r="H59" s="10" t="s">
        <v>242</v>
      </c>
      <c r="I59" s="10"/>
    </row>
    <row r="60" spans="1:10" x14ac:dyDescent="0.2">
      <c r="A60" s="10" t="s">
        <v>139</v>
      </c>
      <c r="B60" s="10" t="s">
        <v>2</v>
      </c>
      <c r="C60" s="10" t="s">
        <v>148</v>
      </c>
      <c r="D60" s="10" t="s">
        <v>149</v>
      </c>
      <c r="E60" s="10">
        <v>2.3E-2</v>
      </c>
      <c r="F60" s="10">
        <v>92</v>
      </c>
      <c r="G60" s="10" t="s">
        <v>241</v>
      </c>
      <c r="H60" s="10" t="s">
        <v>242</v>
      </c>
      <c r="I60" s="10"/>
    </row>
    <row r="61" spans="1:10" x14ac:dyDescent="0.2">
      <c r="A61" s="10" t="s">
        <v>139</v>
      </c>
      <c r="B61" s="10" t="s">
        <v>2</v>
      </c>
      <c r="C61" s="10" t="s">
        <v>150</v>
      </c>
      <c r="D61" s="10" t="s">
        <v>151</v>
      </c>
      <c r="E61" s="10">
        <v>2.3E-2</v>
      </c>
      <c r="F61" s="10">
        <v>92</v>
      </c>
      <c r="G61" s="10" t="s">
        <v>241</v>
      </c>
      <c r="H61" s="10" t="s">
        <v>242</v>
      </c>
      <c r="I61" s="10"/>
    </row>
    <row r="62" spans="1:10" x14ac:dyDescent="0.2">
      <c r="A62" s="10" t="s">
        <v>139</v>
      </c>
      <c r="B62" s="10" t="s">
        <v>2</v>
      </c>
      <c r="C62" s="10" t="s">
        <v>152</v>
      </c>
      <c r="D62" s="10" t="s">
        <v>153</v>
      </c>
      <c r="E62" s="10">
        <v>2.3E-2</v>
      </c>
      <c r="F62" s="10">
        <v>92</v>
      </c>
      <c r="G62" s="10" t="s">
        <v>241</v>
      </c>
      <c r="H62" s="10" t="s">
        <v>242</v>
      </c>
      <c r="I62" s="10"/>
    </row>
    <row r="63" spans="1:10" x14ac:dyDescent="0.2">
      <c r="A63" s="10" t="s">
        <v>139</v>
      </c>
      <c r="B63" s="10" t="s">
        <v>2</v>
      </c>
      <c r="C63" s="10" t="s">
        <v>154</v>
      </c>
      <c r="D63" s="10" t="s">
        <v>155</v>
      </c>
      <c r="E63" s="10">
        <v>2.3E-2</v>
      </c>
      <c r="F63" s="10">
        <v>92</v>
      </c>
      <c r="G63" s="10" t="s">
        <v>241</v>
      </c>
      <c r="H63" s="10" t="s">
        <v>242</v>
      </c>
      <c r="I63" s="10"/>
    </row>
    <row r="64" spans="1:10" x14ac:dyDescent="0.2">
      <c r="A64" s="10" t="s">
        <v>139</v>
      </c>
      <c r="B64" s="10" t="s">
        <v>2</v>
      </c>
      <c r="C64" s="10" t="s">
        <v>156</v>
      </c>
      <c r="D64" s="10" t="s">
        <v>157</v>
      </c>
      <c r="E64" s="10">
        <v>2.3E-2</v>
      </c>
      <c r="F64" s="10">
        <v>92</v>
      </c>
      <c r="G64" s="10" t="s">
        <v>241</v>
      </c>
      <c r="H64" s="10" t="s">
        <v>242</v>
      </c>
      <c r="I64" s="10"/>
    </row>
    <row r="65" spans="1:9" x14ac:dyDescent="0.2">
      <c r="A65" s="10" t="s">
        <v>139</v>
      </c>
      <c r="B65" s="10" t="s">
        <v>2</v>
      </c>
      <c r="C65" s="10" t="s">
        <v>158</v>
      </c>
      <c r="D65" s="10" t="s">
        <v>159</v>
      </c>
      <c r="E65" s="10">
        <v>2.3E-2</v>
      </c>
      <c r="F65" s="10">
        <v>92</v>
      </c>
      <c r="G65" s="10" t="s">
        <v>241</v>
      </c>
      <c r="H65" s="10" t="s">
        <v>242</v>
      </c>
      <c r="I65" s="10"/>
    </row>
    <row r="66" spans="1:9" x14ac:dyDescent="0.2">
      <c r="A66" s="10" t="s">
        <v>139</v>
      </c>
      <c r="B66" s="10" t="s">
        <v>2</v>
      </c>
      <c r="C66" s="10" t="s">
        <v>160</v>
      </c>
      <c r="D66" s="10" t="s">
        <v>161</v>
      </c>
      <c r="E66" s="10">
        <v>2.3E-2</v>
      </c>
      <c r="F66" s="10">
        <v>92</v>
      </c>
      <c r="G66" s="10" t="s">
        <v>241</v>
      </c>
      <c r="H66" s="10" t="s">
        <v>242</v>
      </c>
      <c r="I66" s="10"/>
    </row>
    <row r="67" spans="1:9" x14ac:dyDescent="0.2">
      <c r="A67" s="10" t="s">
        <v>163</v>
      </c>
      <c r="B67" s="10" t="s">
        <v>162</v>
      </c>
      <c r="C67" s="10" t="s">
        <v>164</v>
      </c>
      <c r="D67" s="10" t="s">
        <v>165</v>
      </c>
      <c r="E67" s="10">
        <v>2.5000000000000001E-4</v>
      </c>
      <c r="F67" s="10">
        <v>1</v>
      </c>
      <c r="G67" s="10" t="s">
        <v>241</v>
      </c>
      <c r="H67" s="10" t="s">
        <v>242</v>
      </c>
      <c r="I67" s="10"/>
    </row>
    <row r="68" spans="1:9" x14ac:dyDescent="0.2">
      <c r="A68" s="10" t="s">
        <v>166</v>
      </c>
      <c r="B68" s="10" t="s">
        <v>162</v>
      </c>
      <c r="C68" s="10" t="s">
        <v>167</v>
      </c>
      <c r="D68" s="10" t="s">
        <v>168</v>
      </c>
      <c r="E68" s="10">
        <v>2.5000000000000001E-4</v>
      </c>
      <c r="F68" s="10">
        <v>1</v>
      </c>
      <c r="G68" s="10" t="s">
        <v>241</v>
      </c>
      <c r="H68" s="10" t="s">
        <v>242</v>
      </c>
      <c r="I68" s="10"/>
    </row>
    <row r="69" spans="1:9" x14ac:dyDescent="0.2">
      <c r="A69" s="10" t="s">
        <v>170</v>
      </c>
      <c r="B69" s="10" t="s">
        <v>169</v>
      </c>
      <c r="C69" s="10" t="s">
        <v>171</v>
      </c>
      <c r="D69" s="10" t="s">
        <v>172</v>
      </c>
      <c r="E69" s="10">
        <v>1.75E-3</v>
      </c>
      <c r="F69" s="10">
        <v>7</v>
      </c>
      <c r="G69" s="10" t="s">
        <v>241</v>
      </c>
      <c r="H69" s="10" t="s">
        <v>242</v>
      </c>
      <c r="I69" s="10"/>
    </row>
    <row r="70" spans="1:9" x14ac:dyDescent="0.2">
      <c r="A70" s="10" t="s">
        <v>170</v>
      </c>
      <c r="B70" s="10" t="s">
        <v>169</v>
      </c>
      <c r="C70" s="10" t="s">
        <v>173</v>
      </c>
      <c r="D70" s="10" t="s">
        <v>174</v>
      </c>
      <c r="E70" s="10">
        <v>1.75E-3</v>
      </c>
      <c r="F70" s="10">
        <v>7</v>
      </c>
      <c r="G70" s="10" t="s">
        <v>241</v>
      </c>
      <c r="H70" s="10" t="s">
        <v>242</v>
      </c>
      <c r="I70" s="10"/>
    </row>
    <row r="71" spans="1:9" x14ac:dyDescent="0.2">
      <c r="A71" s="10" t="s">
        <v>170</v>
      </c>
      <c r="B71" s="10" t="s">
        <v>169</v>
      </c>
      <c r="C71" s="10" t="s">
        <v>175</v>
      </c>
      <c r="D71" s="10" t="s">
        <v>176</v>
      </c>
      <c r="E71" s="10">
        <v>1.75E-3</v>
      </c>
      <c r="F71" s="10">
        <v>7</v>
      </c>
      <c r="G71" s="10" t="s">
        <v>241</v>
      </c>
      <c r="H71" s="10" t="s">
        <v>242</v>
      </c>
      <c r="I71" s="10"/>
    </row>
    <row r="72" spans="1:9" x14ac:dyDescent="0.2">
      <c r="A72" s="10" t="s">
        <v>170</v>
      </c>
      <c r="B72" s="10" t="s">
        <v>169</v>
      </c>
      <c r="C72" s="10" t="s">
        <v>177</v>
      </c>
      <c r="D72" s="10" t="s">
        <v>178</v>
      </c>
      <c r="E72" s="10">
        <v>1.75E-3</v>
      </c>
      <c r="F72" s="10">
        <v>7</v>
      </c>
      <c r="G72" s="10" t="s">
        <v>241</v>
      </c>
      <c r="H72" s="10" t="s">
        <v>242</v>
      </c>
      <c r="I72" s="10"/>
    </row>
    <row r="73" spans="1:9" x14ac:dyDescent="0.2">
      <c r="A73" s="10" t="s">
        <v>170</v>
      </c>
      <c r="B73" s="10" t="s">
        <v>169</v>
      </c>
      <c r="C73" s="10" t="s">
        <v>179</v>
      </c>
      <c r="D73" s="10" t="s">
        <v>180</v>
      </c>
      <c r="E73" s="10">
        <v>1.75E-3</v>
      </c>
      <c r="F73" s="10">
        <v>7</v>
      </c>
      <c r="G73" s="10" t="s">
        <v>241</v>
      </c>
      <c r="H73" s="10" t="s">
        <v>242</v>
      </c>
      <c r="I73" s="10"/>
    </row>
    <row r="74" spans="1:9" x14ac:dyDescent="0.2">
      <c r="A74" s="10" t="s">
        <v>170</v>
      </c>
      <c r="B74" s="10" t="s">
        <v>169</v>
      </c>
      <c r="C74" s="10" t="s">
        <v>181</v>
      </c>
      <c r="D74" s="10" t="s">
        <v>182</v>
      </c>
      <c r="E74" s="10">
        <v>1.75E-3</v>
      </c>
      <c r="F74" s="10">
        <v>7</v>
      </c>
      <c r="G74" s="10" t="s">
        <v>241</v>
      </c>
      <c r="H74" s="10" t="s">
        <v>242</v>
      </c>
      <c r="I74" s="10"/>
    </row>
    <row r="75" spans="1:9" x14ac:dyDescent="0.2">
      <c r="A75" s="10" t="s">
        <v>170</v>
      </c>
      <c r="B75" s="10" t="s">
        <v>169</v>
      </c>
      <c r="C75" s="10" t="s">
        <v>183</v>
      </c>
      <c r="D75" s="10" t="s">
        <v>184</v>
      </c>
      <c r="E75" s="10">
        <v>1.75E-3</v>
      </c>
      <c r="F75" s="10">
        <v>7</v>
      </c>
      <c r="G75" s="10" t="s">
        <v>241</v>
      </c>
      <c r="H75" s="10" t="s">
        <v>242</v>
      </c>
      <c r="I75" s="10"/>
    </row>
    <row r="76" spans="1:9" x14ac:dyDescent="0.2">
      <c r="A76" s="10" t="s">
        <v>186</v>
      </c>
      <c r="B76" s="10" t="s">
        <v>185</v>
      </c>
      <c r="C76" s="10" t="s">
        <v>187</v>
      </c>
      <c r="D76" s="10" t="s">
        <v>188</v>
      </c>
      <c r="E76" s="10">
        <v>2.5000000000000001E-4</v>
      </c>
      <c r="F76" s="10">
        <v>1</v>
      </c>
      <c r="G76" s="10" t="s">
        <v>241</v>
      </c>
      <c r="H76" s="10" t="s">
        <v>242</v>
      </c>
      <c r="I76" s="10"/>
    </row>
    <row r="77" spans="1:9" x14ac:dyDescent="0.2">
      <c r="A77" s="10" t="s">
        <v>186</v>
      </c>
      <c r="B77" s="10" t="s">
        <v>185</v>
      </c>
      <c r="C77" s="10" t="s">
        <v>189</v>
      </c>
      <c r="D77" s="10" t="s">
        <v>190</v>
      </c>
      <c r="E77" s="10">
        <v>2.5000000000000001E-4</v>
      </c>
      <c r="F77" s="10">
        <v>1</v>
      </c>
      <c r="G77" s="10" t="s">
        <v>241</v>
      </c>
      <c r="H77" s="10" t="s">
        <v>242</v>
      </c>
      <c r="I77" s="10"/>
    </row>
    <row r="78" spans="1:9" x14ac:dyDescent="0.2">
      <c r="A78" s="10" t="s">
        <v>192</v>
      </c>
      <c r="B78" s="10" t="s">
        <v>191</v>
      </c>
      <c r="C78" s="10" t="s">
        <v>193</v>
      </c>
      <c r="D78" s="10"/>
      <c r="E78" s="10">
        <v>2.5000000000000001E-4</v>
      </c>
      <c r="F78" s="10">
        <v>1</v>
      </c>
      <c r="G78" s="10" t="s">
        <v>241</v>
      </c>
      <c r="H78" s="10" t="s">
        <v>242</v>
      </c>
      <c r="I78" s="10"/>
    </row>
    <row r="79" spans="1:9" x14ac:dyDescent="0.2">
      <c r="A79" s="10" t="s">
        <v>192</v>
      </c>
      <c r="B79" s="10" t="s">
        <v>191</v>
      </c>
      <c r="C79" s="10" t="s">
        <v>194</v>
      </c>
      <c r="D79" s="10" t="s">
        <v>195</v>
      </c>
      <c r="E79" s="10">
        <v>2.5000000000000001E-4</v>
      </c>
      <c r="F79" s="10">
        <v>1</v>
      </c>
      <c r="G79" s="10" t="s">
        <v>241</v>
      </c>
      <c r="H79" s="10" t="s">
        <v>242</v>
      </c>
      <c r="I79" s="10"/>
    </row>
    <row r="80" spans="1:9" x14ac:dyDescent="0.2">
      <c r="A80" s="10" t="s">
        <v>197</v>
      </c>
      <c r="B80" s="10" t="s">
        <v>196</v>
      </c>
      <c r="C80" s="10" t="s">
        <v>198</v>
      </c>
      <c r="D80" s="10" t="s">
        <v>199</v>
      </c>
      <c r="E80" s="10">
        <v>2.5000000000000001E-4</v>
      </c>
      <c r="F80" s="10">
        <v>1</v>
      </c>
      <c r="G80" s="10" t="s">
        <v>241</v>
      </c>
      <c r="H80" s="10" t="s">
        <v>242</v>
      </c>
      <c r="I80" s="10"/>
    </row>
    <row r="81" spans="1:9" x14ac:dyDescent="0.2">
      <c r="A81" s="10" t="s">
        <v>201</v>
      </c>
      <c r="B81" s="10" t="s">
        <v>200</v>
      </c>
      <c r="C81" s="10" t="s">
        <v>202</v>
      </c>
      <c r="D81" s="10" t="s">
        <v>203</v>
      </c>
      <c r="E81" s="10">
        <v>2.5000000000000001E-4</v>
      </c>
      <c r="F81" s="10">
        <v>1</v>
      </c>
      <c r="G81" s="10" t="s">
        <v>241</v>
      </c>
      <c r="H81" s="10" t="s">
        <v>242</v>
      </c>
      <c r="I81" s="10"/>
    </row>
    <row r="82" spans="1:9" x14ac:dyDescent="0.2">
      <c r="A82" s="10" t="s">
        <v>205</v>
      </c>
      <c r="B82" s="10" t="s">
        <v>204</v>
      </c>
      <c r="C82" s="10" t="s">
        <v>206</v>
      </c>
      <c r="D82" s="10" t="s">
        <v>207</v>
      </c>
      <c r="E82" s="10">
        <v>2.5000000000000001E-4</v>
      </c>
      <c r="F82" s="10">
        <v>1</v>
      </c>
      <c r="G82" s="10" t="s">
        <v>241</v>
      </c>
      <c r="H82" s="10" t="s">
        <v>242</v>
      </c>
      <c r="I82" s="10"/>
    </row>
    <row r="83" spans="1:9" x14ac:dyDescent="0.2">
      <c r="A83" s="10" t="s">
        <v>209</v>
      </c>
      <c r="B83" s="10" t="s">
        <v>208</v>
      </c>
      <c r="C83" s="10" t="s">
        <v>210</v>
      </c>
      <c r="D83" s="10" t="s">
        <v>211</v>
      </c>
      <c r="E83" s="10">
        <v>2.5000000000000001E-4</v>
      </c>
      <c r="F83" s="10">
        <v>1</v>
      </c>
      <c r="G83" s="10" t="s">
        <v>241</v>
      </c>
      <c r="H83" s="10" t="s">
        <v>242</v>
      </c>
      <c r="I83" s="10"/>
    </row>
    <row r="84" spans="1:9" x14ac:dyDescent="0.2">
      <c r="A84" s="10" t="s">
        <v>213</v>
      </c>
      <c r="B84" s="10" t="s">
        <v>212</v>
      </c>
      <c r="C84" s="10" t="s">
        <v>214</v>
      </c>
      <c r="D84" s="10"/>
      <c r="E84" s="10">
        <v>2.5000000000000001E-4</v>
      </c>
      <c r="F84" s="10">
        <v>1</v>
      </c>
      <c r="G84" s="10" t="s">
        <v>241</v>
      </c>
      <c r="H84" s="10" t="s">
        <v>242</v>
      </c>
      <c r="I84" s="10"/>
    </row>
    <row r="85" spans="1:9" x14ac:dyDescent="0.2">
      <c r="A85" s="10" t="s">
        <v>216</v>
      </c>
      <c r="B85" s="10" t="s">
        <v>215</v>
      </c>
      <c r="C85" s="10" t="s">
        <v>217</v>
      </c>
      <c r="D85" s="10"/>
      <c r="E85" s="10">
        <v>2.5000000000000001E-4</v>
      </c>
      <c r="F85" s="10">
        <v>1</v>
      </c>
      <c r="G85" s="10" t="s">
        <v>241</v>
      </c>
      <c r="H85" s="10" t="s">
        <v>242</v>
      </c>
      <c r="I85" s="10"/>
    </row>
    <row r="86" spans="1:9" x14ac:dyDescent="0.2">
      <c r="A86" s="10" t="s">
        <v>219</v>
      </c>
      <c r="B86" s="10" t="s">
        <v>218</v>
      </c>
      <c r="C86" s="10" t="s">
        <v>220</v>
      </c>
      <c r="D86" s="10" t="s">
        <v>221</v>
      </c>
      <c r="E86" s="10">
        <v>2.5000000000000001E-4</v>
      </c>
      <c r="F86" s="10">
        <v>1</v>
      </c>
      <c r="G86" s="10" t="s">
        <v>241</v>
      </c>
      <c r="H86" s="10" t="s">
        <v>242</v>
      </c>
      <c r="I86" s="10"/>
    </row>
    <row r="87" spans="1:9" x14ac:dyDescent="0.2">
      <c r="A87" s="10" t="s">
        <v>223</v>
      </c>
      <c r="B87" s="10" t="s">
        <v>222</v>
      </c>
      <c r="C87" s="10" t="s">
        <v>224</v>
      </c>
      <c r="D87" s="10"/>
      <c r="E87" s="10">
        <v>2.5000000000000001E-4</v>
      </c>
      <c r="F87" s="10">
        <v>1</v>
      </c>
      <c r="G87" s="10" t="s">
        <v>241</v>
      </c>
      <c r="H87" s="10" t="s">
        <v>242</v>
      </c>
      <c r="I87" s="10"/>
    </row>
    <row r="88" spans="1:9" x14ac:dyDescent="0.2">
      <c r="A88" s="10" t="s">
        <v>226</v>
      </c>
      <c r="B88" s="10" t="s">
        <v>225</v>
      </c>
      <c r="C88" s="10" t="s">
        <v>227</v>
      </c>
      <c r="D88" s="10" t="s">
        <v>228</v>
      </c>
      <c r="E88" s="10">
        <v>2.5000000000000001E-4</v>
      </c>
      <c r="F88" s="10">
        <v>1</v>
      </c>
      <c r="G88" s="10" t="s">
        <v>241</v>
      </c>
      <c r="H88" s="10" t="s">
        <v>242</v>
      </c>
      <c r="I88" s="10"/>
    </row>
    <row r="89" spans="1:9" x14ac:dyDescent="0.2">
      <c r="A89" s="10" t="s">
        <v>230</v>
      </c>
      <c r="B89" s="10" t="s">
        <v>229</v>
      </c>
      <c r="C89" s="10" t="s">
        <v>231</v>
      </c>
      <c r="D89" s="10" t="s">
        <v>232</v>
      </c>
      <c r="E89" s="10">
        <v>2.5000000000000001E-4</v>
      </c>
      <c r="F89" s="10">
        <v>1</v>
      </c>
      <c r="G89" s="10" t="s">
        <v>241</v>
      </c>
      <c r="H89" s="10" t="s">
        <v>242</v>
      </c>
      <c r="I89" s="10"/>
    </row>
    <row r="90" spans="1:9" x14ac:dyDescent="0.2">
      <c r="A90" s="10" t="s">
        <v>234</v>
      </c>
      <c r="B90" s="10" t="s">
        <v>233</v>
      </c>
      <c r="C90" s="10" t="s">
        <v>235</v>
      </c>
      <c r="D90" s="10" t="s">
        <v>236</v>
      </c>
      <c r="E90" s="10">
        <v>1.25E-3</v>
      </c>
      <c r="F90" s="10">
        <v>5</v>
      </c>
      <c r="G90" s="10" t="s">
        <v>241</v>
      </c>
      <c r="H90" s="10" t="s">
        <v>242</v>
      </c>
      <c r="I90" s="10"/>
    </row>
    <row r="91" spans="1:9" x14ac:dyDescent="0.2">
      <c r="A91" s="10" t="s">
        <v>234</v>
      </c>
      <c r="B91" s="10" t="s">
        <v>233</v>
      </c>
      <c r="C91" s="10" t="s">
        <v>237</v>
      </c>
      <c r="D91" s="10"/>
      <c r="E91" s="10">
        <v>1.25E-3</v>
      </c>
      <c r="F91" s="10">
        <v>5</v>
      </c>
      <c r="G91" s="10" t="s">
        <v>241</v>
      </c>
      <c r="H91" s="10" t="s">
        <v>242</v>
      </c>
      <c r="I91" s="10"/>
    </row>
    <row r="92" spans="1:9" x14ac:dyDescent="0.2">
      <c r="A92" s="10" t="s">
        <v>238</v>
      </c>
      <c r="B92" s="10" t="s">
        <v>14</v>
      </c>
      <c r="C92" s="10" t="s">
        <v>239</v>
      </c>
      <c r="D92" s="10" t="s">
        <v>240</v>
      </c>
      <c r="E92" s="10">
        <v>5.0000000000000001E-4</v>
      </c>
      <c r="F92" s="10">
        <v>2</v>
      </c>
      <c r="G92" s="10" t="s">
        <v>241</v>
      </c>
      <c r="H92" s="10" t="s">
        <v>242</v>
      </c>
      <c r="I92" s="10"/>
    </row>
    <row r="93" spans="1:9" x14ac:dyDescent="0.2">
      <c r="A93" s="17" t="s">
        <v>1288</v>
      </c>
      <c r="B93" s="17" t="s">
        <v>2</v>
      </c>
      <c r="C93" s="14" t="s">
        <v>1289</v>
      </c>
      <c r="D93" s="14" t="s">
        <v>1290</v>
      </c>
      <c r="E93" s="14">
        <f>2/1000</f>
        <v>2E-3</v>
      </c>
      <c r="F93" s="14">
        <v>2</v>
      </c>
      <c r="G93" s="14" t="s">
        <v>1291</v>
      </c>
      <c r="H93" s="14" t="s">
        <v>67</v>
      </c>
    </row>
    <row r="94" spans="1:9" x14ac:dyDescent="0.2">
      <c r="A94" s="17" t="s">
        <v>1288</v>
      </c>
      <c r="B94" s="17" t="s">
        <v>2</v>
      </c>
      <c r="C94" s="15" t="s">
        <v>1292</v>
      </c>
      <c r="D94" s="14" t="s">
        <v>151</v>
      </c>
      <c r="E94" s="14">
        <f>2/1000</f>
        <v>2E-3</v>
      </c>
      <c r="F94" s="14">
        <v>2</v>
      </c>
      <c r="G94" s="14" t="s">
        <v>1291</v>
      </c>
      <c r="H94" s="14" t="s">
        <v>67</v>
      </c>
    </row>
    <row r="95" spans="1:9" x14ac:dyDescent="0.2">
      <c r="A95" s="17" t="s">
        <v>1288</v>
      </c>
      <c r="B95" s="17" t="s">
        <v>2</v>
      </c>
      <c r="C95" s="15" t="s">
        <v>56</v>
      </c>
      <c r="D95" s="14" t="s">
        <v>1293</v>
      </c>
      <c r="E95" s="14">
        <v>1E-3</v>
      </c>
      <c r="F95" s="14">
        <v>1</v>
      </c>
      <c r="G95" s="14" t="s">
        <v>1291</v>
      </c>
      <c r="H95" s="14" t="s">
        <v>67</v>
      </c>
    </row>
    <row r="96" spans="1:9" x14ac:dyDescent="0.2">
      <c r="A96" s="17" t="s">
        <v>1288</v>
      </c>
      <c r="B96" s="17" t="s">
        <v>2</v>
      </c>
      <c r="C96" s="14" t="s">
        <v>1294</v>
      </c>
      <c r="D96" s="14" t="s">
        <v>147</v>
      </c>
      <c r="E96" s="14">
        <v>1E-3</v>
      </c>
      <c r="F96" s="14">
        <v>1</v>
      </c>
      <c r="G96" s="14" t="s">
        <v>1291</v>
      </c>
      <c r="H96" s="14" t="s">
        <v>67</v>
      </c>
    </row>
    <row r="97" spans="1:8" x14ac:dyDescent="0.2">
      <c r="A97" s="17" t="s">
        <v>1295</v>
      </c>
      <c r="B97" s="17" t="s">
        <v>1283</v>
      </c>
      <c r="C97" s="15" t="s">
        <v>1296</v>
      </c>
      <c r="D97" s="14"/>
      <c r="E97" s="14" t="s">
        <v>1298</v>
      </c>
      <c r="F97" s="14" t="s">
        <v>1298</v>
      </c>
      <c r="G97" s="14" t="s">
        <v>1291</v>
      </c>
      <c r="H97" s="14" t="s">
        <v>67</v>
      </c>
    </row>
    <row r="98" spans="1:8" x14ac:dyDescent="0.2">
      <c r="A98" s="17" t="s">
        <v>1295</v>
      </c>
      <c r="B98" s="17" t="s">
        <v>1283</v>
      </c>
      <c r="C98" s="15" t="s">
        <v>1297</v>
      </c>
      <c r="D98" s="14"/>
      <c r="E98" s="14" t="s">
        <v>1298</v>
      </c>
      <c r="F98" s="14" t="s">
        <v>1298</v>
      </c>
      <c r="G98" s="14" t="s">
        <v>1291</v>
      </c>
      <c r="H98" s="14" t="s">
        <v>67</v>
      </c>
    </row>
    <row r="99" spans="1:8" x14ac:dyDescent="0.2">
      <c r="A99" s="16" t="s">
        <v>1299</v>
      </c>
      <c r="B99" s="17" t="s">
        <v>766</v>
      </c>
      <c r="C99" s="15" t="s">
        <v>1300</v>
      </c>
      <c r="D99" s="15" t="s">
        <v>1301</v>
      </c>
      <c r="E99" s="14">
        <v>1E-3</v>
      </c>
      <c r="F99" s="14">
        <v>1</v>
      </c>
      <c r="G99" s="14" t="s">
        <v>1291</v>
      </c>
      <c r="H99" s="14" t="s">
        <v>67</v>
      </c>
    </row>
    <row r="100" spans="1:8" x14ac:dyDescent="0.2">
      <c r="A100" s="16" t="s">
        <v>1302</v>
      </c>
      <c r="B100" s="17" t="s">
        <v>1284</v>
      </c>
      <c r="C100" s="15" t="s">
        <v>1303</v>
      </c>
      <c r="D100" s="15" t="s">
        <v>1304</v>
      </c>
      <c r="E100" s="14">
        <v>1E-3</v>
      </c>
      <c r="F100" s="14">
        <v>1</v>
      </c>
      <c r="G100" s="14" t="s">
        <v>1291</v>
      </c>
      <c r="H100" s="14" t="s">
        <v>67</v>
      </c>
    </row>
    <row r="101" spans="1:8" x14ac:dyDescent="0.2">
      <c r="A101" s="15" t="s">
        <v>1306</v>
      </c>
      <c r="B101" s="14" t="s">
        <v>1305</v>
      </c>
      <c r="C101" s="15" t="s">
        <v>1307</v>
      </c>
      <c r="D101" s="14" t="s">
        <v>1308</v>
      </c>
      <c r="E101" s="14">
        <v>1E-3</v>
      </c>
      <c r="F101" s="14">
        <v>1</v>
      </c>
      <c r="G101" s="14" t="s">
        <v>1291</v>
      </c>
      <c r="H101" s="14" t="s">
        <v>67</v>
      </c>
    </row>
    <row r="102" spans="1:8" x14ac:dyDescent="0.2">
      <c r="A102" s="15" t="s">
        <v>1309</v>
      </c>
      <c r="B102" s="14" t="s">
        <v>1285</v>
      </c>
      <c r="C102" s="15" t="s">
        <v>1310</v>
      </c>
      <c r="D102" s="14" t="s">
        <v>1311</v>
      </c>
      <c r="E102" s="14">
        <v>1E-3</v>
      </c>
      <c r="F102" s="14">
        <v>1</v>
      </c>
      <c r="G102" s="14" t="s">
        <v>1291</v>
      </c>
      <c r="H102" s="14" t="s">
        <v>67</v>
      </c>
    </row>
    <row r="103" spans="1:8" x14ac:dyDescent="0.2">
      <c r="A103" s="16" t="s">
        <v>1312</v>
      </c>
      <c r="B103" s="17" t="s">
        <v>169</v>
      </c>
      <c r="C103" s="15" t="s">
        <v>171</v>
      </c>
      <c r="D103" s="14" t="s">
        <v>1313</v>
      </c>
      <c r="E103" s="14">
        <v>1E-3</v>
      </c>
      <c r="F103" s="14">
        <v>1</v>
      </c>
      <c r="G103" s="14" t="s">
        <v>1291</v>
      </c>
      <c r="H103" s="14" t="s">
        <v>67</v>
      </c>
    </row>
    <row r="104" spans="1:8" x14ac:dyDescent="0.2">
      <c r="A104" s="16" t="s">
        <v>1312</v>
      </c>
      <c r="B104" s="17" t="s">
        <v>169</v>
      </c>
      <c r="C104" s="15" t="s">
        <v>1314</v>
      </c>
      <c r="D104" s="15" t="s">
        <v>1315</v>
      </c>
      <c r="E104" s="14">
        <v>1E-3</v>
      </c>
      <c r="F104" s="14">
        <v>1</v>
      </c>
      <c r="G104" s="14" t="s">
        <v>1291</v>
      </c>
      <c r="H104" s="14" t="s">
        <v>67</v>
      </c>
    </row>
    <row r="105" spans="1:8" x14ac:dyDescent="0.2">
      <c r="A105" s="15" t="s">
        <v>1318</v>
      </c>
      <c r="B105" s="14" t="s">
        <v>1286</v>
      </c>
      <c r="C105" s="15" t="s">
        <v>1316</v>
      </c>
      <c r="D105" s="15" t="s">
        <v>1317</v>
      </c>
      <c r="E105" s="14">
        <v>1E-3</v>
      </c>
      <c r="F105" s="14">
        <v>1</v>
      </c>
      <c r="G105" s="14" t="s">
        <v>1291</v>
      </c>
      <c r="H105" s="14" t="s">
        <v>67</v>
      </c>
    </row>
    <row r="106" spans="1:8" x14ac:dyDescent="0.2">
      <c r="A106" s="15" t="s">
        <v>1319</v>
      </c>
      <c r="B106" s="14" t="s">
        <v>1287</v>
      </c>
      <c r="C106" s="15" t="s">
        <v>1320</v>
      </c>
      <c r="D106" s="14"/>
      <c r="E106" s="14">
        <f>2/1000</f>
        <v>2E-3</v>
      </c>
      <c r="F106" s="14">
        <v>2</v>
      </c>
      <c r="G106" s="14" t="s">
        <v>1291</v>
      </c>
      <c r="H106" s="14" t="s">
        <v>67</v>
      </c>
    </row>
    <row r="107" spans="1:8" x14ac:dyDescent="0.2">
      <c r="A107" s="16" t="s">
        <v>1322</v>
      </c>
      <c r="B107" s="17" t="s">
        <v>1321</v>
      </c>
      <c r="C107" s="15" t="s">
        <v>1323</v>
      </c>
      <c r="D107" s="14" t="s">
        <v>1324</v>
      </c>
      <c r="E107" s="14">
        <v>1E-3</v>
      </c>
      <c r="F107" s="14">
        <v>1</v>
      </c>
      <c r="G107" s="14" t="s">
        <v>1291</v>
      </c>
      <c r="H107" s="14" t="s">
        <v>67</v>
      </c>
    </row>
    <row r="108" spans="1:8" x14ac:dyDescent="0.2">
      <c r="A108" s="16" t="s">
        <v>1327</v>
      </c>
      <c r="B108" s="17" t="s">
        <v>1321</v>
      </c>
      <c r="C108" s="15" t="s">
        <v>1325</v>
      </c>
      <c r="D108" s="14" t="s">
        <v>1326</v>
      </c>
      <c r="E108" s="14">
        <v>1E-3</v>
      </c>
      <c r="F108" s="14">
        <v>1</v>
      </c>
      <c r="G108" s="14" t="s">
        <v>1291</v>
      </c>
      <c r="H108" s="14" t="s">
        <v>67</v>
      </c>
    </row>
  </sheetData>
  <sortState xmlns:xlrd2="http://schemas.microsoft.com/office/spreadsheetml/2017/richdata2" ref="A2:F73">
    <sortCondition ref="C1:C73"/>
  </sortState>
  <phoneticPr fontId="4" type="noConversion"/>
  <hyperlinks>
    <hyperlink ref="B37" r:id="rId1" display="http://ncbi-n:NM_000060.2/" xr:uid="{8B4315EC-826B-AF4D-9F92-018294E5F778}"/>
    <hyperlink ref="B39" r:id="rId2" display="http://ncbi-n:NM_002389.4/" xr:uid="{0181191E-9168-7647-A6D4-14744C32259F}"/>
    <hyperlink ref="B40" r:id="rId3" display="http://ncbi-n:NM_000501.3/" xr:uid="{837708FC-374F-1E47-B4CC-E1F18052FCFE}"/>
    <hyperlink ref="B41" r:id="rId4" display="http://ncbi-n:NM_004700.3/" xr:uid="{3ACFBE81-036F-E44D-9F2E-0D3FC1264FDC}"/>
    <hyperlink ref="B42" r:id="rId5" display="http://ncbi-n:NM_000256.3/" xr:uid="{0DAA72B3-F6DF-7F48-8279-C1F1951E504F}"/>
    <hyperlink ref="B43" r:id="rId6" display="http://ncbi-n:NM_133378.4/" xr:uid="{019FE592-B538-E542-8379-8625FF4FE5C1}"/>
    <hyperlink ref="B44" r:id="rId7" display="http://ncbi-n:NM_133432.3/" xr:uid="{E38F4C43-C65A-BB4F-A544-A423EBEC4E0B}"/>
    <hyperlink ref="B45" r:id="rId8" display="http://ncbi-n:NM_133378.4/" xr:uid="{F3BCAA4B-3869-FF49-94EA-EBE1BDEEA8A6}"/>
    <hyperlink ref="B46" r:id="rId9" display="http://ncbi-n:NM_133378.4/" xr:uid="{41F85D88-0E2E-9B48-A813-9F618A28A6A7}"/>
    <hyperlink ref="B47" r:id="rId10" display="http://ncbi-n:NM_014000.2/" xr:uid="{80AD0E0E-BFBB-1747-BB28-F8CEAEF7496D}"/>
    <hyperlink ref="B38" r:id="rId11" display="http://ncbi-n:NM_000060.2/" xr:uid="{4F4516E6-FB3A-244E-9F8A-C37E05DC68DF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9B79-348C-1241-B255-F253EF77AFF2}">
  <dimension ref="A1:B6"/>
  <sheetViews>
    <sheetView zoomScale="239" workbookViewId="0">
      <selection activeCell="A4" sqref="A4:XFD4"/>
    </sheetView>
  </sheetViews>
  <sheetFormatPr baseColWidth="10" defaultRowHeight="16" x14ac:dyDescent="0.2"/>
  <sheetData>
    <row r="1" spans="1:2" s="12" customFormat="1" x14ac:dyDescent="0.2">
      <c r="A1" s="12" t="s">
        <v>47</v>
      </c>
      <c r="B1" s="12" t="s">
        <v>1282</v>
      </c>
    </row>
    <row r="2" spans="1:2" x14ac:dyDescent="0.2">
      <c r="A2" t="s">
        <v>241</v>
      </c>
      <c r="B2">
        <v>3.6999999999999998E-2</v>
      </c>
    </row>
    <row r="3" spans="1:2" x14ac:dyDescent="0.2">
      <c r="A3" t="s">
        <v>48</v>
      </c>
      <c r="B3">
        <f>71/3847</f>
        <v>1.8455939693267483E-2</v>
      </c>
    </row>
    <row r="4" spans="1:2" x14ac:dyDescent="0.2">
      <c r="A4" t="s">
        <v>1291</v>
      </c>
      <c r="B4">
        <v>1.6E-2</v>
      </c>
    </row>
    <row r="5" spans="1:2" x14ac:dyDescent="0.2">
      <c r="A5" t="s">
        <v>100</v>
      </c>
      <c r="B5">
        <v>9.4E-2</v>
      </c>
    </row>
    <row r="6" spans="1:2" x14ac:dyDescent="0.2">
      <c r="A6" t="s">
        <v>138</v>
      </c>
      <c r="B6">
        <f>4/106</f>
        <v>3.7735849056603772E-2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A874-6FA6-5F44-ADDD-19A0EC3C5B69}">
  <dimension ref="A1:H374"/>
  <sheetViews>
    <sheetView workbookViewId="0">
      <selection sqref="A1:XFD1"/>
    </sheetView>
  </sheetViews>
  <sheetFormatPr baseColWidth="10" defaultColWidth="8.83203125" defaultRowHeight="15" x14ac:dyDescent="0.2"/>
  <cols>
    <col min="1" max="1" width="8.83203125" style="10"/>
    <col min="2" max="2" width="12.1640625" style="10" customWidth="1"/>
    <col min="3" max="3" width="19.5" style="10" customWidth="1"/>
    <col min="4" max="4" width="26.33203125" style="10" customWidth="1"/>
    <col min="5" max="5" width="14.33203125" style="10" bestFit="1" customWidth="1"/>
    <col min="6" max="6" width="20.5" style="10" bestFit="1" customWidth="1"/>
    <col min="7" max="16384" width="8.83203125" style="10"/>
  </cols>
  <sheetData>
    <row r="1" spans="1:8" s="9" customFormat="1" x14ac:dyDescent="0.2">
      <c r="A1" s="9" t="s">
        <v>1281</v>
      </c>
      <c r="B1" s="9" t="s">
        <v>71</v>
      </c>
      <c r="C1" s="9" t="s">
        <v>45</v>
      </c>
      <c r="D1" s="9" t="s">
        <v>46</v>
      </c>
      <c r="E1" s="9" t="s">
        <v>1262</v>
      </c>
      <c r="F1" s="9" t="s">
        <v>1263</v>
      </c>
      <c r="G1" s="9" t="s">
        <v>47</v>
      </c>
      <c r="H1" s="9" t="s">
        <v>70</v>
      </c>
    </row>
    <row r="2" spans="1:8" x14ac:dyDescent="0.2">
      <c r="A2" s="10" t="s">
        <v>481</v>
      </c>
      <c r="B2" s="10" t="s">
        <v>480</v>
      </c>
      <c r="C2" s="10" t="s">
        <v>832</v>
      </c>
      <c r="D2" s="10" t="s">
        <v>1054</v>
      </c>
      <c r="E2" s="10">
        <v>1</v>
      </c>
      <c r="F2" s="10">
        <v>6.2893081761006293E-3</v>
      </c>
      <c r="G2" s="10" t="s">
        <v>100</v>
      </c>
      <c r="H2" s="10" t="s">
        <v>1261</v>
      </c>
    </row>
    <row r="3" spans="1:8" x14ac:dyDescent="0.2">
      <c r="A3" s="10" t="s">
        <v>483</v>
      </c>
      <c r="B3" s="10" t="s">
        <v>482</v>
      </c>
      <c r="C3" s="10" t="s">
        <v>833</v>
      </c>
      <c r="D3" s="10" t="s">
        <v>1055</v>
      </c>
      <c r="E3" s="10">
        <v>1</v>
      </c>
      <c r="F3" s="10">
        <v>6.2893081761006293E-3</v>
      </c>
      <c r="G3" s="10" t="s">
        <v>100</v>
      </c>
      <c r="H3" s="10" t="s">
        <v>1261</v>
      </c>
    </row>
    <row r="4" spans="1:8" x14ac:dyDescent="0.2">
      <c r="A4" s="10" t="s">
        <v>483</v>
      </c>
      <c r="B4" s="10" t="s">
        <v>482</v>
      </c>
      <c r="C4" s="10" t="s">
        <v>834</v>
      </c>
      <c r="D4" s="10" t="s">
        <v>1056</v>
      </c>
      <c r="E4" s="10">
        <v>1</v>
      </c>
      <c r="F4" s="10">
        <v>6.2893081761006293E-3</v>
      </c>
      <c r="G4" s="10" t="s">
        <v>100</v>
      </c>
      <c r="H4" s="10" t="s">
        <v>1261</v>
      </c>
    </row>
    <row r="5" spans="1:8" x14ac:dyDescent="0.2">
      <c r="A5" s="10" t="s">
        <v>483</v>
      </c>
      <c r="B5" s="10" t="s">
        <v>482</v>
      </c>
      <c r="C5" s="10" t="s">
        <v>835</v>
      </c>
      <c r="D5" s="10" t="s">
        <v>1057</v>
      </c>
      <c r="E5" s="10">
        <v>1</v>
      </c>
      <c r="F5" s="10">
        <v>6.2893081761006293E-3</v>
      </c>
      <c r="G5" s="10" t="s">
        <v>100</v>
      </c>
      <c r="H5" s="10" t="s">
        <v>1261</v>
      </c>
    </row>
    <row r="6" spans="1:8" x14ac:dyDescent="0.2">
      <c r="A6" s="10" t="s">
        <v>483</v>
      </c>
      <c r="B6" s="10" t="s">
        <v>482</v>
      </c>
      <c r="C6" s="10" t="s">
        <v>836</v>
      </c>
      <c r="D6" s="10" t="s">
        <v>1058</v>
      </c>
      <c r="E6" s="10">
        <v>1</v>
      </c>
      <c r="F6" s="10">
        <v>6.2893081761006293E-3</v>
      </c>
      <c r="G6" s="10" t="s">
        <v>100</v>
      </c>
      <c r="H6" s="10" t="s">
        <v>1261</v>
      </c>
    </row>
    <row r="7" spans="1:8" x14ac:dyDescent="0.2">
      <c r="A7" s="10" t="s">
        <v>483</v>
      </c>
      <c r="B7" s="10" t="s">
        <v>482</v>
      </c>
      <c r="C7" s="10" t="s">
        <v>837</v>
      </c>
      <c r="D7" s="10" t="s">
        <v>1059</v>
      </c>
      <c r="E7" s="10">
        <v>1</v>
      </c>
      <c r="F7" s="10">
        <v>6.2893081761006293E-3</v>
      </c>
      <c r="G7" s="10" t="s">
        <v>100</v>
      </c>
      <c r="H7" s="10" t="s">
        <v>1261</v>
      </c>
    </row>
    <row r="8" spans="1:8" x14ac:dyDescent="0.2">
      <c r="A8" s="10" t="s">
        <v>485</v>
      </c>
      <c r="B8" s="10" t="s">
        <v>484</v>
      </c>
      <c r="C8" s="10" t="s">
        <v>838</v>
      </c>
      <c r="E8" s="10">
        <v>1</v>
      </c>
      <c r="F8" s="10">
        <v>6.2893081761006293E-3</v>
      </c>
      <c r="G8" s="10" t="s">
        <v>100</v>
      </c>
      <c r="H8" s="10" t="s">
        <v>1261</v>
      </c>
    </row>
    <row r="9" spans="1:8" x14ac:dyDescent="0.2">
      <c r="A9" s="10" t="s">
        <v>486</v>
      </c>
      <c r="B9" s="10" t="s">
        <v>191</v>
      </c>
      <c r="C9" s="10" t="s">
        <v>839</v>
      </c>
      <c r="D9" s="10" t="s">
        <v>1060</v>
      </c>
      <c r="E9" s="10">
        <v>2</v>
      </c>
      <c r="F9" s="10">
        <v>1.2578616352201259E-2</v>
      </c>
      <c r="G9" s="10" t="s">
        <v>100</v>
      </c>
      <c r="H9" s="10" t="s">
        <v>1261</v>
      </c>
    </row>
    <row r="10" spans="1:8" x14ac:dyDescent="0.2">
      <c r="A10" s="10" t="s">
        <v>486</v>
      </c>
      <c r="B10" s="10" t="s">
        <v>191</v>
      </c>
      <c r="C10" s="10" t="s">
        <v>840</v>
      </c>
      <c r="D10" s="10" t="s">
        <v>1061</v>
      </c>
      <c r="E10" s="10">
        <v>1</v>
      </c>
      <c r="F10" s="10">
        <v>6.2893081761006293E-3</v>
      </c>
      <c r="G10" s="10" t="s">
        <v>100</v>
      </c>
      <c r="H10" s="10" t="s">
        <v>1261</v>
      </c>
    </row>
    <row r="11" spans="1:8" x14ac:dyDescent="0.2">
      <c r="A11" s="10" t="s">
        <v>486</v>
      </c>
      <c r="B11" s="10" t="s">
        <v>191</v>
      </c>
      <c r="C11" s="10" t="s">
        <v>841</v>
      </c>
      <c r="D11" s="10" t="s">
        <v>1062</v>
      </c>
      <c r="E11" s="10">
        <v>1</v>
      </c>
      <c r="F11" s="10">
        <v>6.2893081761006293E-3</v>
      </c>
      <c r="G11" s="10" t="s">
        <v>100</v>
      </c>
      <c r="H11" s="10" t="s">
        <v>1261</v>
      </c>
    </row>
    <row r="12" spans="1:8" x14ac:dyDescent="0.2">
      <c r="A12" s="10" t="s">
        <v>487</v>
      </c>
      <c r="B12" s="10" t="s">
        <v>14</v>
      </c>
      <c r="C12" s="10" t="s">
        <v>239</v>
      </c>
      <c r="D12" s="10" t="s">
        <v>240</v>
      </c>
      <c r="E12" s="10">
        <v>2</v>
      </c>
      <c r="F12" s="10">
        <v>1.2578616352201259E-2</v>
      </c>
      <c r="G12" s="10" t="s">
        <v>100</v>
      </c>
      <c r="H12" s="10" t="s">
        <v>1261</v>
      </c>
    </row>
    <row r="13" spans="1:8" x14ac:dyDescent="0.2">
      <c r="A13" s="10" t="s">
        <v>489</v>
      </c>
      <c r="B13" s="10" t="s">
        <v>488</v>
      </c>
      <c r="C13" s="10" t="s">
        <v>842</v>
      </c>
      <c r="D13" s="10" t="s">
        <v>1063</v>
      </c>
      <c r="E13" s="10">
        <v>1</v>
      </c>
      <c r="F13" s="10">
        <v>6.2893081761006293E-3</v>
      </c>
      <c r="G13" s="10" t="s">
        <v>100</v>
      </c>
      <c r="H13" s="10" t="s">
        <v>1261</v>
      </c>
    </row>
    <row r="14" spans="1:8" x14ac:dyDescent="0.2">
      <c r="A14" s="10" t="s">
        <v>491</v>
      </c>
      <c r="B14" s="10" t="s">
        <v>490</v>
      </c>
      <c r="C14" s="10" t="s">
        <v>843</v>
      </c>
      <c r="D14" s="10" t="s">
        <v>1064</v>
      </c>
      <c r="E14" s="10">
        <v>2</v>
      </c>
      <c r="F14" s="10">
        <v>1.2578616352201259E-2</v>
      </c>
      <c r="G14" s="10" t="s">
        <v>100</v>
      </c>
      <c r="H14" s="10" t="s">
        <v>1261</v>
      </c>
    </row>
    <row r="15" spans="1:8" x14ac:dyDescent="0.2">
      <c r="A15" s="10" t="s">
        <v>493</v>
      </c>
      <c r="B15" s="10" t="s">
        <v>492</v>
      </c>
      <c r="C15" s="10" t="s">
        <v>844</v>
      </c>
      <c r="D15" s="10" t="s">
        <v>1065</v>
      </c>
      <c r="E15" s="10">
        <v>2</v>
      </c>
      <c r="F15" s="10">
        <v>1.2578616352201259E-2</v>
      </c>
      <c r="G15" s="10" t="s">
        <v>100</v>
      </c>
      <c r="H15" s="10" t="s">
        <v>1261</v>
      </c>
    </row>
    <row r="16" spans="1:8" x14ac:dyDescent="0.2">
      <c r="A16" s="10" t="s">
        <v>495</v>
      </c>
      <c r="B16" s="10" t="s">
        <v>494</v>
      </c>
      <c r="C16" s="10" t="s">
        <v>845</v>
      </c>
      <c r="D16" s="10" t="s">
        <v>1066</v>
      </c>
      <c r="E16" s="10">
        <v>1</v>
      </c>
      <c r="F16" s="10">
        <v>6.2893081761006293E-3</v>
      </c>
      <c r="G16" s="10" t="s">
        <v>100</v>
      </c>
      <c r="H16" s="10" t="s">
        <v>1261</v>
      </c>
    </row>
    <row r="17" spans="1:8" x14ac:dyDescent="0.2">
      <c r="A17" s="10" t="s">
        <v>497</v>
      </c>
      <c r="B17" s="10" t="s">
        <v>496</v>
      </c>
      <c r="C17" s="10" t="s">
        <v>846</v>
      </c>
      <c r="D17" s="10" t="s">
        <v>1067</v>
      </c>
      <c r="E17" s="10">
        <v>1</v>
      </c>
      <c r="F17" s="10">
        <v>6.2893081761006293E-3</v>
      </c>
      <c r="G17" s="10" t="s">
        <v>100</v>
      </c>
      <c r="H17" s="10" t="s">
        <v>1261</v>
      </c>
    </row>
    <row r="18" spans="1:8" x14ac:dyDescent="0.2">
      <c r="A18" s="10" t="s">
        <v>499</v>
      </c>
      <c r="B18" s="10" t="s">
        <v>498</v>
      </c>
      <c r="C18" s="10" t="s">
        <v>847</v>
      </c>
      <c r="D18" s="10" t="s">
        <v>1068</v>
      </c>
      <c r="E18" s="10">
        <v>1</v>
      </c>
      <c r="F18" s="10">
        <v>6.2893081761006293E-3</v>
      </c>
      <c r="G18" s="10" t="s">
        <v>100</v>
      </c>
      <c r="H18" s="10" t="s">
        <v>1261</v>
      </c>
    </row>
    <row r="19" spans="1:8" x14ac:dyDescent="0.2">
      <c r="A19" s="10" t="s">
        <v>501</v>
      </c>
      <c r="B19" s="10" t="s">
        <v>500</v>
      </c>
      <c r="C19" s="10" t="s">
        <v>1245</v>
      </c>
      <c r="D19" s="10" t="s">
        <v>1246</v>
      </c>
      <c r="E19" s="10">
        <v>2</v>
      </c>
      <c r="F19" s="10">
        <v>1.2578616352201259E-2</v>
      </c>
      <c r="G19" s="10" t="s">
        <v>100</v>
      </c>
      <c r="H19" s="10" t="s">
        <v>1261</v>
      </c>
    </row>
    <row r="20" spans="1:8" x14ac:dyDescent="0.2">
      <c r="A20" s="10" t="s">
        <v>503</v>
      </c>
      <c r="B20" s="10" t="s">
        <v>502</v>
      </c>
      <c r="C20" s="10" t="s">
        <v>848</v>
      </c>
      <c r="D20" s="10" t="s">
        <v>1069</v>
      </c>
      <c r="E20" s="10">
        <v>1</v>
      </c>
      <c r="F20" s="10">
        <v>6.2893081761006293E-3</v>
      </c>
      <c r="G20" s="10" t="s">
        <v>100</v>
      </c>
      <c r="H20" s="10" t="s">
        <v>1261</v>
      </c>
    </row>
    <row r="21" spans="1:8" x14ac:dyDescent="0.2">
      <c r="A21" s="10" t="s">
        <v>505</v>
      </c>
      <c r="B21" s="10" t="s">
        <v>504</v>
      </c>
      <c r="C21" s="10" t="s">
        <v>849</v>
      </c>
      <c r="D21" s="10" t="s">
        <v>1070</v>
      </c>
      <c r="E21" s="10">
        <v>1</v>
      </c>
      <c r="F21" s="10">
        <v>6.2893081761006293E-3</v>
      </c>
      <c r="G21" s="10" t="s">
        <v>100</v>
      </c>
      <c r="H21" s="10" t="s">
        <v>1261</v>
      </c>
    </row>
    <row r="22" spans="1:8" x14ac:dyDescent="0.2">
      <c r="A22" s="10" t="s">
        <v>507</v>
      </c>
      <c r="B22" s="10" t="s">
        <v>506</v>
      </c>
      <c r="C22" s="10" t="s">
        <v>850</v>
      </c>
      <c r="D22" s="10" t="s">
        <v>1071</v>
      </c>
      <c r="E22" s="10">
        <v>1</v>
      </c>
      <c r="F22" s="10">
        <v>6.2893081761006293E-3</v>
      </c>
      <c r="G22" s="10" t="s">
        <v>100</v>
      </c>
      <c r="H22" s="10" t="s">
        <v>1261</v>
      </c>
    </row>
    <row r="23" spans="1:8" x14ac:dyDescent="0.2">
      <c r="A23" s="10" t="s">
        <v>508</v>
      </c>
      <c r="B23" s="10" t="s">
        <v>328</v>
      </c>
      <c r="C23" s="10" t="s">
        <v>330</v>
      </c>
      <c r="D23" s="10" t="s">
        <v>1072</v>
      </c>
      <c r="E23" s="10">
        <v>1</v>
      </c>
      <c r="F23" s="10">
        <v>6.2893081761006293E-3</v>
      </c>
      <c r="G23" s="10" t="s">
        <v>100</v>
      </c>
      <c r="H23" s="10" t="s">
        <v>1261</v>
      </c>
    </row>
    <row r="24" spans="1:8" x14ac:dyDescent="0.2">
      <c r="A24" s="10" t="s">
        <v>508</v>
      </c>
      <c r="B24" s="10" t="s">
        <v>328</v>
      </c>
      <c r="C24" s="10" t="s">
        <v>851</v>
      </c>
      <c r="D24" s="10" t="s">
        <v>1073</v>
      </c>
      <c r="E24" s="10">
        <v>1</v>
      </c>
      <c r="F24" s="10">
        <v>6.2893081761006293E-3</v>
      </c>
      <c r="G24" s="10" t="s">
        <v>100</v>
      </c>
      <c r="H24" s="10" t="s">
        <v>1261</v>
      </c>
    </row>
    <row r="25" spans="1:8" x14ac:dyDescent="0.2">
      <c r="A25" s="10" t="s">
        <v>509</v>
      </c>
      <c r="B25" s="10" t="s">
        <v>356</v>
      </c>
      <c r="C25" s="10" t="s">
        <v>852</v>
      </c>
      <c r="E25" s="10">
        <v>1</v>
      </c>
      <c r="F25" s="10">
        <v>6.2893081761006293E-3</v>
      </c>
      <c r="G25" s="10" t="s">
        <v>100</v>
      </c>
      <c r="H25" s="10" t="s">
        <v>1261</v>
      </c>
    </row>
    <row r="26" spans="1:8" x14ac:dyDescent="0.2">
      <c r="A26" s="10" t="s">
        <v>511</v>
      </c>
      <c r="B26" s="10" t="s">
        <v>510</v>
      </c>
      <c r="C26" s="10" t="s">
        <v>853</v>
      </c>
      <c r="D26" s="10" t="s">
        <v>1074</v>
      </c>
      <c r="E26" s="10">
        <v>1</v>
      </c>
      <c r="F26" s="10">
        <v>6.2893081761006293E-3</v>
      </c>
      <c r="G26" s="10" t="s">
        <v>100</v>
      </c>
      <c r="H26" s="10" t="s">
        <v>1261</v>
      </c>
    </row>
    <row r="27" spans="1:8" x14ac:dyDescent="0.2">
      <c r="A27" s="10" t="s">
        <v>513</v>
      </c>
      <c r="B27" s="10" t="s">
        <v>512</v>
      </c>
      <c r="C27" s="10" t="s">
        <v>854</v>
      </c>
      <c r="E27" s="10">
        <v>1</v>
      </c>
      <c r="F27" s="10">
        <v>6.2893081761006293E-3</v>
      </c>
      <c r="G27" s="10" t="s">
        <v>100</v>
      </c>
      <c r="H27" s="10" t="s">
        <v>1261</v>
      </c>
    </row>
    <row r="28" spans="1:8" x14ac:dyDescent="0.2">
      <c r="A28" s="10" t="s">
        <v>514</v>
      </c>
      <c r="B28" s="10" t="s">
        <v>390</v>
      </c>
      <c r="C28" s="10" t="s">
        <v>855</v>
      </c>
      <c r="D28" s="10" t="s">
        <v>1075</v>
      </c>
      <c r="E28" s="10">
        <v>1</v>
      </c>
      <c r="F28" s="10">
        <v>6.2893081761006293E-3</v>
      </c>
      <c r="G28" s="10" t="s">
        <v>100</v>
      </c>
      <c r="H28" s="10" t="s">
        <v>1261</v>
      </c>
    </row>
    <row r="29" spans="1:8" x14ac:dyDescent="0.2">
      <c r="A29" s="10" t="s">
        <v>516</v>
      </c>
      <c r="B29" s="10" t="s">
        <v>515</v>
      </c>
      <c r="C29" s="10" t="s">
        <v>856</v>
      </c>
      <c r="D29" s="10" t="s">
        <v>1076</v>
      </c>
      <c r="E29" s="10">
        <v>1</v>
      </c>
      <c r="F29" s="10">
        <v>6.2893081761006293E-3</v>
      </c>
      <c r="G29" s="10" t="s">
        <v>100</v>
      </c>
      <c r="H29" s="10" t="s">
        <v>1261</v>
      </c>
    </row>
    <row r="30" spans="1:8" x14ac:dyDescent="0.2">
      <c r="A30" s="10" t="s">
        <v>518</v>
      </c>
      <c r="B30" s="10" t="s">
        <v>517</v>
      </c>
      <c r="C30" s="10" t="s">
        <v>857</v>
      </c>
      <c r="D30" s="10" t="s">
        <v>1077</v>
      </c>
      <c r="E30" s="10">
        <v>1</v>
      </c>
      <c r="F30" s="10">
        <v>6.2893081761006293E-3</v>
      </c>
      <c r="G30" s="10" t="s">
        <v>100</v>
      </c>
      <c r="H30" s="10" t="s">
        <v>1261</v>
      </c>
    </row>
    <row r="31" spans="1:8" x14ac:dyDescent="0.2">
      <c r="A31" s="10" t="s">
        <v>520</v>
      </c>
      <c r="B31" s="10" t="s">
        <v>519</v>
      </c>
      <c r="C31" s="10" t="s">
        <v>858</v>
      </c>
      <c r="D31" s="10" t="s">
        <v>1078</v>
      </c>
      <c r="E31" s="10">
        <v>1</v>
      </c>
      <c r="F31" s="10">
        <v>6.2893081761006293E-3</v>
      </c>
      <c r="G31" s="10" t="s">
        <v>100</v>
      </c>
      <c r="H31" s="10" t="s">
        <v>1261</v>
      </c>
    </row>
    <row r="32" spans="1:8" x14ac:dyDescent="0.2">
      <c r="A32" s="10" t="s">
        <v>522</v>
      </c>
      <c r="B32" s="10" t="s">
        <v>521</v>
      </c>
      <c r="C32" s="10" t="s">
        <v>859</v>
      </c>
      <c r="D32" s="10" t="s">
        <v>1079</v>
      </c>
      <c r="E32" s="10">
        <v>1</v>
      </c>
      <c r="F32" s="10">
        <v>6.2893081761006293E-3</v>
      </c>
      <c r="G32" s="10" t="s">
        <v>100</v>
      </c>
      <c r="H32" s="10" t="s">
        <v>1261</v>
      </c>
    </row>
    <row r="33" spans="1:8" x14ac:dyDescent="0.2">
      <c r="A33" s="10" t="s">
        <v>524</v>
      </c>
      <c r="B33" s="10" t="s">
        <v>523</v>
      </c>
      <c r="C33" s="10" t="s">
        <v>860</v>
      </c>
      <c r="E33" s="10">
        <v>1</v>
      </c>
      <c r="F33" s="10">
        <v>6.2893081761006293E-3</v>
      </c>
      <c r="G33" s="10" t="s">
        <v>100</v>
      </c>
      <c r="H33" s="10" t="s">
        <v>1261</v>
      </c>
    </row>
    <row r="34" spans="1:8" x14ac:dyDescent="0.2">
      <c r="A34" s="10" t="s">
        <v>186</v>
      </c>
      <c r="B34" s="10" t="s">
        <v>412</v>
      </c>
      <c r="C34" s="10" t="s">
        <v>861</v>
      </c>
      <c r="D34" s="10" t="s">
        <v>1080</v>
      </c>
      <c r="E34" s="10">
        <v>2</v>
      </c>
      <c r="F34" s="10">
        <v>1.2578616352201259E-2</v>
      </c>
      <c r="G34" s="10" t="s">
        <v>100</v>
      </c>
      <c r="H34" s="10" t="s">
        <v>1261</v>
      </c>
    </row>
    <row r="35" spans="1:8" x14ac:dyDescent="0.2">
      <c r="A35" s="10" t="s">
        <v>186</v>
      </c>
      <c r="B35" s="10" t="s">
        <v>412</v>
      </c>
      <c r="C35" s="10" t="s">
        <v>862</v>
      </c>
      <c r="D35" s="10" t="s">
        <v>1081</v>
      </c>
      <c r="E35" s="10">
        <v>1</v>
      </c>
      <c r="F35" s="10">
        <v>6.2893081761006293E-3</v>
      </c>
      <c r="G35" s="10" t="s">
        <v>100</v>
      </c>
      <c r="H35" s="10" t="s">
        <v>1261</v>
      </c>
    </row>
    <row r="36" spans="1:8" x14ac:dyDescent="0.2">
      <c r="A36" s="10" t="s">
        <v>526</v>
      </c>
      <c r="B36" s="10" t="s">
        <v>525</v>
      </c>
      <c r="C36" s="10" t="s">
        <v>863</v>
      </c>
      <c r="D36" s="10" t="s">
        <v>1082</v>
      </c>
      <c r="E36" s="10">
        <v>1</v>
      </c>
      <c r="F36" s="10">
        <v>6.2893081761006293E-3</v>
      </c>
      <c r="G36" s="10" t="s">
        <v>100</v>
      </c>
      <c r="H36" s="10" t="s">
        <v>1261</v>
      </c>
    </row>
    <row r="37" spans="1:8" x14ac:dyDescent="0.2">
      <c r="A37" s="10" t="s">
        <v>527</v>
      </c>
      <c r="B37" s="10" t="s">
        <v>397</v>
      </c>
      <c r="C37" s="10" t="s">
        <v>399</v>
      </c>
      <c r="D37" s="10" t="s">
        <v>470</v>
      </c>
      <c r="E37" s="10">
        <v>2</v>
      </c>
      <c r="F37" s="10">
        <v>1.2578616352201259E-2</v>
      </c>
      <c r="G37" s="10" t="s">
        <v>100</v>
      </c>
      <c r="H37" s="10" t="s">
        <v>1261</v>
      </c>
    </row>
    <row r="38" spans="1:8" x14ac:dyDescent="0.2">
      <c r="A38" s="10" t="s">
        <v>527</v>
      </c>
      <c r="B38" s="10" t="s">
        <v>528</v>
      </c>
      <c r="C38" s="10" t="s">
        <v>864</v>
      </c>
      <c r="D38" s="10" t="s">
        <v>1083</v>
      </c>
      <c r="E38" s="10">
        <v>1</v>
      </c>
      <c r="F38" s="10">
        <v>6.2893081761006293E-3</v>
      </c>
      <c r="G38" s="10" t="s">
        <v>100</v>
      </c>
      <c r="H38" s="10" t="s">
        <v>1261</v>
      </c>
    </row>
    <row r="39" spans="1:8" x14ac:dyDescent="0.2">
      <c r="A39" s="10" t="s">
        <v>530</v>
      </c>
      <c r="B39" s="10" t="s">
        <v>529</v>
      </c>
      <c r="C39" s="10" t="s">
        <v>865</v>
      </c>
      <c r="D39" s="10" t="s">
        <v>1084</v>
      </c>
      <c r="E39" s="10">
        <v>1</v>
      </c>
      <c r="F39" s="10">
        <v>6.2893081761006293E-3</v>
      </c>
      <c r="G39" s="10" t="s">
        <v>100</v>
      </c>
      <c r="H39" s="10" t="s">
        <v>1261</v>
      </c>
    </row>
    <row r="40" spans="1:8" x14ac:dyDescent="0.2">
      <c r="A40" s="10" t="s">
        <v>532</v>
      </c>
      <c r="B40" s="10" t="s">
        <v>531</v>
      </c>
      <c r="C40" s="10" t="s">
        <v>866</v>
      </c>
      <c r="D40" s="10" t="s">
        <v>1085</v>
      </c>
      <c r="E40" s="10">
        <v>1</v>
      </c>
      <c r="F40" s="10">
        <v>6.2893081761006293E-3</v>
      </c>
      <c r="G40" s="10" t="s">
        <v>100</v>
      </c>
      <c r="H40" s="10" t="s">
        <v>1261</v>
      </c>
    </row>
    <row r="41" spans="1:8" x14ac:dyDescent="0.2">
      <c r="A41" s="10" t="s">
        <v>532</v>
      </c>
      <c r="B41" s="10" t="s">
        <v>531</v>
      </c>
      <c r="C41" s="10" t="s">
        <v>867</v>
      </c>
      <c r="D41" s="10" t="s">
        <v>1086</v>
      </c>
      <c r="E41" s="10">
        <v>1</v>
      </c>
      <c r="F41" s="10">
        <v>6.2893081761006293E-3</v>
      </c>
      <c r="G41" s="10" t="s">
        <v>100</v>
      </c>
      <c r="H41" s="10" t="s">
        <v>1261</v>
      </c>
    </row>
    <row r="42" spans="1:8" x14ac:dyDescent="0.2">
      <c r="A42" s="10" t="s">
        <v>6</v>
      </c>
      <c r="B42" s="10" t="s">
        <v>7</v>
      </c>
      <c r="C42" s="10" t="s">
        <v>868</v>
      </c>
      <c r="D42" s="10" t="s">
        <v>1087</v>
      </c>
      <c r="E42" s="10">
        <v>14</v>
      </c>
      <c r="F42" s="10">
        <v>8.8050314465408799E-2</v>
      </c>
      <c r="G42" s="10" t="s">
        <v>100</v>
      </c>
      <c r="H42" s="10" t="s">
        <v>1261</v>
      </c>
    </row>
    <row r="43" spans="1:8" x14ac:dyDescent="0.2">
      <c r="A43" s="10" t="s">
        <v>6</v>
      </c>
      <c r="B43" s="10" t="s">
        <v>7</v>
      </c>
      <c r="C43" s="10" t="s">
        <v>868</v>
      </c>
      <c r="D43" s="10" t="s">
        <v>1087</v>
      </c>
      <c r="E43" s="10">
        <v>2</v>
      </c>
      <c r="F43" s="10">
        <v>1.2578616352201259E-2</v>
      </c>
      <c r="G43" s="10" t="s">
        <v>100</v>
      </c>
      <c r="H43" s="10" t="s">
        <v>1261</v>
      </c>
    </row>
    <row r="44" spans="1:8" x14ac:dyDescent="0.2">
      <c r="A44" s="10" t="s">
        <v>534</v>
      </c>
      <c r="B44" s="10" t="s">
        <v>533</v>
      </c>
      <c r="C44" s="10" t="s">
        <v>869</v>
      </c>
      <c r="D44" s="10" t="s">
        <v>1088</v>
      </c>
      <c r="E44" s="10">
        <v>1</v>
      </c>
      <c r="F44" s="10">
        <v>6.2893081761006293E-3</v>
      </c>
      <c r="G44" s="10" t="s">
        <v>100</v>
      </c>
      <c r="H44" s="10" t="s">
        <v>1261</v>
      </c>
    </row>
    <row r="45" spans="1:8" x14ac:dyDescent="0.2">
      <c r="A45" s="10" t="s">
        <v>536</v>
      </c>
      <c r="B45" s="10" t="s">
        <v>535</v>
      </c>
      <c r="C45" s="10" t="s">
        <v>870</v>
      </c>
      <c r="D45" s="10" t="s">
        <v>1089</v>
      </c>
      <c r="E45" s="10">
        <v>1</v>
      </c>
      <c r="F45" s="10">
        <v>6.2893081761006293E-3</v>
      </c>
      <c r="G45" s="10" t="s">
        <v>100</v>
      </c>
      <c r="H45" s="10" t="s">
        <v>1261</v>
      </c>
    </row>
    <row r="46" spans="1:8" x14ac:dyDescent="0.2">
      <c r="A46" s="10" t="s">
        <v>538</v>
      </c>
      <c r="B46" s="10" t="s">
        <v>537</v>
      </c>
      <c r="C46" s="10" t="s">
        <v>871</v>
      </c>
      <c r="D46" s="10" t="s">
        <v>1090</v>
      </c>
      <c r="E46" s="10">
        <v>1</v>
      </c>
      <c r="F46" s="10">
        <v>6.2893081761006293E-3</v>
      </c>
      <c r="G46" s="10" t="s">
        <v>100</v>
      </c>
      <c r="H46" s="10" t="s">
        <v>1261</v>
      </c>
    </row>
    <row r="47" spans="1:8" x14ac:dyDescent="0.2">
      <c r="A47" s="10" t="s">
        <v>540</v>
      </c>
      <c r="B47" s="10" t="s">
        <v>539</v>
      </c>
      <c r="C47" s="10" t="s">
        <v>285</v>
      </c>
      <c r="D47" s="10" t="s">
        <v>1091</v>
      </c>
      <c r="E47" s="10">
        <v>1</v>
      </c>
      <c r="F47" s="10">
        <v>6.2893081761006293E-3</v>
      </c>
      <c r="G47" s="10" t="s">
        <v>100</v>
      </c>
      <c r="H47" s="10" t="s">
        <v>1261</v>
      </c>
    </row>
    <row r="48" spans="1:8" x14ac:dyDescent="0.2">
      <c r="A48" s="10" t="s">
        <v>540</v>
      </c>
      <c r="B48" s="10" t="s">
        <v>539</v>
      </c>
      <c r="C48" s="10" t="s">
        <v>872</v>
      </c>
      <c r="D48" s="10" t="s">
        <v>1092</v>
      </c>
      <c r="E48" s="10">
        <v>1</v>
      </c>
      <c r="F48" s="10">
        <v>6.2893081761006293E-3</v>
      </c>
      <c r="G48" s="10" t="s">
        <v>100</v>
      </c>
      <c r="H48" s="10" t="s">
        <v>1261</v>
      </c>
    </row>
    <row r="49" spans="1:8" x14ac:dyDescent="0.2">
      <c r="A49" s="10" t="s">
        <v>542</v>
      </c>
      <c r="B49" s="10" t="s">
        <v>541</v>
      </c>
      <c r="C49" s="10" t="s">
        <v>873</v>
      </c>
      <c r="D49" s="10" t="s">
        <v>1093</v>
      </c>
      <c r="E49" s="10">
        <v>1</v>
      </c>
      <c r="F49" s="10">
        <v>6.2893081761006293E-3</v>
      </c>
      <c r="G49" s="10" t="s">
        <v>100</v>
      </c>
      <c r="H49" s="10" t="s">
        <v>1261</v>
      </c>
    </row>
    <row r="50" spans="1:8" x14ac:dyDescent="0.2">
      <c r="A50" s="10" t="s">
        <v>542</v>
      </c>
      <c r="B50" s="10" t="s">
        <v>541</v>
      </c>
      <c r="C50" s="10" t="s">
        <v>874</v>
      </c>
      <c r="D50" s="10" t="s">
        <v>1094</v>
      </c>
      <c r="E50" s="10">
        <v>1</v>
      </c>
      <c r="F50" s="10">
        <v>6.2893081761006293E-3</v>
      </c>
      <c r="G50" s="10" t="s">
        <v>100</v>
      </c>
      <c r="H50" s="10" t="s">
        <v>1261</v>
      </c>
    </row>
    <row r="51" spans="1:8" x14ac:dyDescent="0.2">
      <c r="A51" s="10" t="s">
        <v>544</v>
      </c>
      <c r="B51" s="10" t="s">
        <v>543</v>
      </c>
      <c r="C51" s="10" t="s">
        <v>875</v>
      </c>
      <c r="D51" s="10" t="s">
        <v>1095</v>
      </c>
      <c r="E51" s="10">
        <v>1</v>
      </c>
      <c r="F51" s="10">
        <v>6.2893081761006293E-3</v>
      </c>
      <c r="G51" s="10" t="s">
        <v>100</v>
      </c>
      <c r="H51" s="10" t="s">
        <v>1261</v>
      </c>
    </row>
    <row r="52" spans="1:8" x14ac:dyDescent="0.2">
      <c r="A52" s="10" t="s">
        <v>509</v>
      </c>
      <c r="B52" s="10" t="s">
        <v>545</v>
      </c>
      <c r="C52" s="10" t="s">
        <v>876</v>
      </c>
      <c r="D52" s="10" t="s">
        <v>1096</v>
      </c>
      <c r="E52" s="10">
        <v>1</v>
      </c>
      <c r="F52" s="10">
        <v>6.2893081761006293E-3</v>
      </c>
      <c r="G52" s="10" t="s">
        <v>100</v>
      </c>
      <c r="H52" s="10" t="s">
        <v>1261</v>
      </c>
    </row>
    <row r="53" spans="1:8" x14ac:dyDescent="0.2">
      <c r="A53" s="10" t="s">
        <v>547</v>
      </c>
      <c r="B53" s="10" t="s">
        <v>546</v>
      </c>
      <c r="C53" s="10" t="s">
        <v>877</v>
      </c>
      <c r="D53" s="10" t="s">
        <v>1097</v>
      </c>
      <c r="E53" s="10">
        <v>1</v>
      </c>
      <c r="F53" s="10">
        <v>6.2893081761006293E-3</v>
      </c>
      <c r="G53" s="10" t="s">
        <v>100</v>
      </c>
      <c r="H53" s="10" t="s">
        <v>1261</v>
      </c>
    </row>
    <row r="54" spans="1:8" x14ac:dyDescent="0.2">
      <c r="A54" s="10" t="s">
        <v>8</v>
      </c>
      <c r="B54" s="10" t="s">
        <v>9</v>
      </c>
      <c r="C54" s="10" t="s">
        <v>51</v>
      </c>
      <c r="D54" s="10" t="s">
        <v>1098</v>
      </c>
      <c r="E54" s="10">
        <v>1</v>
      </c>
      <c r="F54" s="10">
        <v>6.2893081761006293E-3</v>
      </c>
      <c r="G54" s="10" t="s">
        <v>100</v>
      </c>
      <c r="H54" s="10" t="s">
        <v>1261</v>
      </c>
    </row>
    <row r="55" spans="1:8" x14ac:dyDescent="0.2">
      <c r="A55" s="10" t="s">
        <v>8</v>
      </c>
      <c r="B55" s="10" t="s">
        <v>9</v>
      </c>
      <c r="C55" s="10" t="s">
        <v>878</v>
      </c>
      <c r="D55" s="10" t="s">
        <v>421</v>
      </c>
      <c r="E55" s="10">
        <v>4</v>
      </c>
      <c r="F55" s="10">
        <v>2.5157232704402517E-2</v>
      </c>
      <c r="G55" s="10" t="s">
        <v>100</v>
      </c>
      <c r="H55" s="10" t="s">
        <v>1261</v>
      </c>
    </row>
    <row r="56" spans="1:8" x14ac:dyDescent="0.2">
      <c r="A56" s="10" t="s">
        <v>8</v>
      </c>
      <c r="B56" s="10" t="s">
        <v>9</v>
      </c>
      <c r="C56" s="10" t="s">
        <v>879</v>
      </c>
      <c r="E56" s="10">
        <v>1</v>
      </c>
      <c r="F56" s="10">
        <v>6.2893081761006293E-3</v>
      </c>
      <c r="G56" s="10" t="s">
        <v>100</v>
      </c>
      <c r="H56" s="10" t="s">
        <v>1261</v>
      </c>
    </row>
    <row r="57" spans="1:8" x14ac:dyDescent="0.2">
      <c r="A57" s="10" t="s">
        <v>549</v>
      </c>
      <c r="B57" s="10" t="s">
        <v>548</v>
      </c>
      <c r="C57" s="10" t="s">
        <v>880</v>
      </c>
      <c r="D57" s="10" t="s">
        <v>1099</v>
      </c>
      <c r="E57" s="10">
        <v>1</v>
      </c>
      <c r="F57" s="10">
        <v>6.2893081761006293E-3</v>
      </c>
      <c r="G57" s="10" t="s">
        <v>100</v>
      </c>
      <c r="H57" s="10" t="s">
        <v>1261</v>
      </c>
    </row>
    <row r="58" spans="1:8" x14ac:dyDescent="0.2">
      <c r="A58" s="10" t="s">
        <v>551</v>
      </c>
      <c r="B58" s="10" t="s">
        <v>550</v>
      </c>
      <c r="C58" s="10" t="s">
        <v>881</v>
      </c>
      <c r="D58" s="10" t="s">
        <v>1100</v>
      </c>
      <c r="E58" s="10">
        <v>1</v>
      </c>
      <c r="F58" s="10">
        <v>6.2893081761006293E-3</v>
      </c>
      <c r="G58" s="10" t="s">
        <v>100</v>
      </c>
      <c r="H58" s="10" t="s">
        <v>1261</v>
      </c>
    </row>
    <row r="59" spans="1:8" x14ac:dyDescent="0.2">
      <c r="A59" s="10" t="s">
        <v>553</v>
      </c>
      <c r="B59" s="10" t="s">
        <v>552</v>
      </c>
      <c r="C59" s="10" t="s">
        <v>882</v>
      </c>
      <c r="E59" s="10">
        <v>1</v>
      </c>
      <c r="F59" s="10">
        <v>6.2893081761006293E-3</v>
      </c>
      <c r="G59" s="10" t="s">
        <v>100</v>
      </c>
      <c r="H59" s="10" t="s">
        <v>1261</v>
      </c>
    </row>
    <row r="60" spans="1:8" x14ac:dyDescent="0.2">
      <c r="A60" s="10" t="s">
        <v>553</v>
      </c>
      <c r="B60" s="10" t="s">
        <v>552</v>
      </c>
      <c r="C60" s="10" t="s">
        <v>883</v>
      </c>
      <c r="D60" s="10" t="s">
        <v>1101</v>
      </c>
      <c r="E60" s="10">
        <v>1</v>
      </c>
      <c r="F60" s="10">
        <v>6.2893081761006293E-3</v>
      </c>
      <c r="G60" s="10" t="s">
        <v>100</v>
      </c>
      <c r="H60" s="10" t="s">
        <v>1261</v>
      </c>
    </row>
    <row r="61" spans="1:8" x14ac:dyDescent="0.2">
      <c r="A61" s="10" t="s">
        <v>555</v>
      </c>
      <c r="B61" s="10" t="s">
        <v>554</v>
      </c>
      <c r="C61" s="10" t="s">
        <v>884</v>
      </c>
      <c r="D61" s="10" t="s">
        <v>1102</v>
      </c>
      <c r="E61" s="10">
        <v>1</v>
      </c>
      <c r="F61" s="10">
        <v>6.2893081761006293E-3</v>
      </c>
      <c r="G61" s="10" t="s">
        <v>100</v>
      </c>
      <c r="H61" s="10" t="s">
        <v>1261</v>
      </c>
    </row>
    <row r="62" spans="1:8" x14ac:dyDescent="0.2">
      <c r="A62" s="10" t="s">
        <v>522</v>
      </c>
      <c r="B62" s="10" t="s">
        <v>556</v>
      </c>
      <c r="C62" s="10" t="s">
        <v>885</v>
      </c>
      <c r="D62" s="10" t="s">
        <v>1103</v>
      </c>
      <c r="E62" s="10">
        <v>3</v>
      </c>
      <c r="F62" s="10">
        <v>1.8867924528301886E-2</v>
      </c>
      <c r="G62" s="10" t="s">
        <v>100</v>
      </c>
      <c r="H62" s="10" t="s">
        <v>1261</v>
      </c>
    </row>
    <row r="63" spans="1:8" x14ac:dyDescent="0.2">
      <c r="A63" s="10" t="s">
        <v>558</v>
      </c>
      <c r="B63" s="10" t="s">
        <v>557</v>
      </c>
      <c r="C63" s="10" t="s">
        <v>1247</v>
      </c>
      <c r="D63" s="10" t="s">
        <v>1248</v>
      </c>
      <c r="E63" s="10">
        <v>1</v>
      </c>
      <c r="F63" s="10">
        <v>6.2893081761006293E-3</v>
      </c>
      <c r="G63" s="10" t="s">
        <v>100</v>
      </c>
      <c r="H63" s="10" t="s">
        <v>1261</v>
      </c>
    </row>
    <row r="64" spans="1:8" x14ac:dyDescent="0.2">
      <c r="A64" s="10" t="s">
        <v>560</v>
      </c>
      <c r="B64" s="10" t="s">
        <v>559</v>
      </c>
      <c r="C64" s="10" t="s">
        <v>886</v>
      </c>
      <c r="E64" s="10">
        <v>1</v>
      </c>
      <c r="F64" s="10">
        <v>6.2893081761006293E-3</v>
      </c>
      <c r="G64" s="10" t="s">
        <v>100</v>
      </c>
      <c r="H64" s="10" t="s">
        <v>1261</v>
      </c>
    </row>
    <row r="65" spans="1:8" x14ac:dyDescent="0.2">
      <c r="A65" s="10" t="s">
        <v>562</v>
      </c>
      <c r="B65" s="10" t="s">
        <v>561</v>
      </c>
      <c r="C65" s="10" t="s">
        <v>887</v>
      </c>
      <c r="E65" s="10">
        <v>1</v>
      </c>
      <c r="F65" s="10">
        <v>6.2893081761006293E-3</v>
      </c>
      <c r="G65" s="10" t="s">
        <v>100</v>
      </c>
      <c r="H65" s="10" t="s">
        <v>1261</v>
      </c>
    </row>
    <row r="66" spans="1:8" x14ac:dyDescent="0.2">
      <c r="A66" s="10" t="s">
        <v>564</v>
      </c>
      <c r="B66" s="10" t="s">
        <v>563</v>
      </c>
      <c r="C66" s="10" t="s">
        <v>888</v>
      </c>
      <c r="E66" s="10">
        <v>1</v>
      </c>
      <c r="F66" s="10">
        <v>6.2893081761006293E-3</v>
      </c>
      <c r="G66" s="10" t="s">
        <v>100</v>
      </c>
      <c r="H66" s="10" t="s">
        <v>1261</v>
      </c>
    </row>
    <row r="67" spans="1:8" x14ac:dyDescent="0.2">
      <c r="A67" s="10" t="s">
        <v>565</v>
      </c>
      <c r="B67" s="10" t="s">
        <v>16</v>
      </c>
      <c r="C67" s="10" t="s">
        <v>889</v>
      </c>
      <c r="D67" s="10" t="s">
        <v>1104</v>
      </c>
      <c r="E67" s="10">
        <v>2</v>
      </c>
      <c r="F67" s="10">
        <v>1.2578616352201259E-2</v>
      </c>
      <c r="G67" s="10" t="s">
        <v>100</v>
      </c>
      <c r="H67" s="10" t="s">
        <v>1261</v>
      </c>
    </row>
    <row r="68" spans="1:8" x14ac:dyDescent="0.2">
      <c r="A68" s="10" t="s">
        <v>567</v>
      </c>
      <c r="B68" s="10" t="s">
        <v>566</v>
      </c>
      <c r="C68" s="10" t="s">
        <v>890</v>
      </c>
      <c r="D68" s="10" t="s">
        <v>1105</v>
      </c>
      <c r="E68" s="10">
        <v>2</v>
      </c>
      <c r="F68" s="10">
        <v>1.2578616352201259E-2</v>
      </c>
      <c r="G68" s="10" t="s">
        <v>100</v>
      </c>
      <c r="H68" s="10" t="s">
        <v>1261</v>
      </c>
    </row>
    <row r="69" spans="1:8" x14ac:dyDescent="0.2">
      <c r="A69" s="10" t="s">
        <v>569</v>
      </c>
      <c r="B69" s="10" t="s">
        <v>568</v>
      </c>
      <c r="C69" s="10" t="s">
        <v>891</v>
      </c>
      <c r="D69" s="10" t="s">
        <v>1106</v>
      </c>
      <c r="E69" s="10">
        <v>1</v>
      </c>
      <c r="F69" s="10">
        <v>6.2893081761006293E-3</v>
      </c>
      <c r="G69" s="10" t="s">
        <v>100</v>
      </c>
      <c r="H69" s="10" t="s">
        <v>1261</v>
      </c>
    </row>
    <row r="70" spans="1:8" x14ac:dyDescent="0.2">
      <c r="A70" s="10" t="s">
        <v>571</v>
      </c>
      <c r="B70" s="10" t="s">
        <v>570</v>
      </c>
      <c r="C70" s="10" t="s">
        <v>64</v>
      </c>
      <c r="D70" s="10" t="s">
        <v>1107</v>
      </c>
      <c r="E70" s="10">
        <v>1</v>
      </c>
      <c r="F70" s="10">
        <v>6.2893081761006293E-3</v>
      </c>
      <c r="G70" s="10" t="s">
        <v>100</v>
      </c>
      <c r="H70" s="10" t="s">
        <v>1261</v>
      </c>
    </row>
    <row r="71" spans="1:8" x14ac:dyDescent="0.2">
      <c r="A71" s="10" t="s">
        <v>573</v>
      </c>
      <c r="B71" s="10" t="s">
        <v>572</v>
      </c>
      <c r="C71" s="10" t="s">
        <v>892</v>
      </c>
      <c r="D71" s="10" t="s">
        <v>1108</v>
      </c>
      <c r="E71" s="10">
        <v>1</v>
      </c>
      <c r="F71" s="10">
        <v>6.2893081761006293E-3</v>
      </c>
      <c r="G71" s="10" t="s">
        <v>100</v>
      </c>
      <c r="H71" s="10" t="s">
        <v>1261</v>
      </c>
    </row>
    <row r="72" spans="1:8" x14ac:dyDescent="0.2">
      <c r="A72" s="10" t="s">
        <v>575</v>
      </c>
      <c r="B72" s="10" t="s">
        <v>574</v>
      </c>
      <c r="C72" s="10" t="s">
        <v>893</v>
      </c>
      <c r="D72" s="10" t="s">
        <v>1109</v>
      </c>
      <c r="E72" s="10">
        <v>1</v>
      </c>
      <c r="F72" s="10">
        <v>6.2893081761006293E-3</v>
      </c>
      <c r="G72" s="10" t="s">
        <v>100</v>
      </c>
      <c r="H72" s="10" t="s">
        <v>1261</v>
      </c>
    </row>
    <row r="73" spans="1:8" x14ac:dyDescent="0.2">
      <c r="A73" s="10" t="s">
        <v>577</v>
      </c>
      <c r="B73" s="10" t="s">
        <v>576</v>
      </c>
      <c r="C73" s="10" t="s">
        <v>894</v>
      </c>
      <c r="D73" s="10" t="s">
        <v>1110</v>
      </c>
      <c r="E73" s="10">
        <v>1</v>
      </c>
      <c r="F73" s="10">
        <v>6.2893081761006293E-3</v>
      </c>
      <c r="G73" s="10" t="s">
        <v>100</v>
      </c>
      <c r="H73" s="10" t="s">
        <v>1261</v>
      </c>
    </row>
    <row r="74" spans="1:8" x14ac:dyDescent="0.2">
      <c r="A74" s="10" t="s">
        <v>577</v>
      </c>
      <c r="B74" s="10" t="s">
        <v>576</v>
      </c>
      <c r="C74" s="10" t="s">
        <v>895</v>
      </c>
      <c r="E74" s="10">
        <v>1</v>
      </c>
      <c r="F74" s="10">
        <v>6.2893081761006293E-3</v>
      </c>
      <c r="G74" s="10" t="s">
        <v>100</v>
      </c>
      <c r="H74" s="10" t="s">
        <v>1261</v>
      </c>
    </row>
    <row r="75" spans="1:8" x14ac:dyDescent="0.2">
      <c r="A75" s="10" t="s">
        <v>530</v>
      </c>
      <c r="B75" s="10" t="s">
        <v>578</v>
      </c>
      <c r="C75" s="10" t="s">
        <v>896</v>
      </c>
      <c r="D75" s="10" t="s">
        <v>1111</v>
      </c>
      <c r="E75" s="10">
        <v>1</v>
      </c>
      <c r="F75" s="10">
        <v>6.2893081761006293E-3</v>
      </c>
      <c r="G75" s="10" t="s">
        <v>100</v>
      </c>
      <c r="H75" s="10" t="s">
        <v>1261</v>
      </c>
    </row>
    <row r="76" spans="1:8" x14ac:dyDescent="0.2">
      <c r="A76" s="10" t="s">
        <v>580</v>
      </c>
      <c r="B76" s="10" t="s">
        <v>579</v>
      </c>
      <c r="C76" s="10" t="s">
        <v>897</v>
      </c>
      <c r="D76" s="10" t="s">
        <v>1112</v>
      </c>
      <c r="E76" s="10">
        <v>1</v>
      </c>
      <c r="F76" s="10">
        <v>6.2893081761006293E-3</v>
      </c>
      <c r="G76" s="10" t="s">
        <v>100</v>
      </c>
      <c r="H76" s="10" t="s">
        <v>1261</v>
      </c>
    </row>
    <row r="77" spans="1:8" x14ac:dyDescent="0.2">
      <c r="A77" s="10" t="s">
        <v>582</v>
      </c>
      <c r="B77" s="10" t="s">
        <v>581</v>
      </c>
      <c r="C77" s="10" t="s">
        <v>898</v>
      </c>
      <c r="E77" s="10">
        <v>1</v>
      </c>
      <c r="F77" s="10">
        <v>6.2893081761006293E-3</v>
      </c>
      <c r="G77" s="10" t="s">
        <v>100</v>
      </c>
      <c r="H77" s="10" t="s">
        <v>1261</v>
      </c>
    </row>
    <row r="78" spans="1:8" x14ac:dyDescent="0.2">
      <c r="A78" s="10" t="s">
        <v>582</v>
      </c>
      <c r="B78" s="10" t="s">
        <v>581</v>
      </c>
      <c r="C78" s="10" t="s">
        <v>899</v>
      </c>
      <c r="D78" s="10" t="s">
        <v>1113</v>
      </c>
      <c r="E78" s="10">
        <v>3</v>
      </c>
      <c r="F78" s="10">
        <v>1.8867924528301886E-2</v>
      </c>
      <c r="G78" s="10" t="s">
        <v>100</v>
      </c>
      <c r="H78" s="10" t="s">
        <v>1261</v>
      </c>
    </row>
    <row r="79" spans="1:8" x14ac:dyDescent="0.2">
      <c r="A79" s="10" t="s">
        <v>582</v>
      </c>
      <c r="B79" s="10" t="s">
        <v>581</v>
      </c>
      <c r="C79" s="10" t="s">
        <v>900</v>
      </c>
      <c r="D79" s="10" t="s">
        <v>1114</v>
      </c>
      <c r="E79" s="10">
        <v>1</v>
      </c>
      <c r="F79" s="10">
        <v>6.2893081761006293E-3</v>
      </c>
      <c r="G79" s="10" t="s">
        <v>100</v>
      </c>
      <c r="H79" s="10" t="s">
        <v>1261</v>
      </c>
    </row>
    <row r="80" spans="1:8" x14ac:dyDescent="0.2">
      <c r="A80" s="10" t="s">
        <v>584</v>
      </c>
      <c r="B80" s="10" t="s">
        <v>583</v>
      </c>
      <c r="C80" s="10" t="s">
        <v>901</v>
      </c>
      <c r="D80" s="10" t="s">
        <v>1115</v>
      </c>
      <c r="E80" s="10">
        <v>1</v>
      </c>
      <c r="F80" s="10">
        <v>6.2893081761006293E-3</v>
      </c>
      <c r="G80" s="10" t="s">
        <v>100</v>
      </c>
      <c r="H80" s="10" t="s">
        <v>1261</v>
      </c>
    </row>
    <row r="81" spans="1:8" x14ac:dyDescent="0.2">
      <c r="A81" s="10" t="s">
        <v>509</v>
      </c>
      <c r="B81" s="10" t="s">
        <v>585</v>
      </c>
      <c r="C81" s="10" t="s">
        <v>902</v>
      </c>
      <c r="D81" s="10" t="s">
        <v>1116</v>
      </c>
      <c r="E81" s="10">
        <v>1</v>
      </c>
      <c r="F81" s="10">
        <v>6.2893081761006293E-3</v>
      </c>
      <c r="G81" s="10" t="s">
        <v>100</v>
      </c>
      <c r="H81" s="10" t="s">
        <v>1261</v>
      </c>
    </row>
    <row r="82" spans="1:8" x14ac:dyDescent="0.2">
      <c r="A82" s="10" t="s">
        <v>509</v>
      </c>
      <c r="B82" s="10" t="s">
        <v>586</v>
      </c>
      <c r="C82" s="10" t="s">
        <v>903</v>
      </c>
      <c r="D82" s="10" t="s">
        <v>1117</v>
      </c>
      <c r="E82" s="10">
        <v>1</v>
      </c>
      <c r="F82" s="10">
        <v>6.2893081761006293E-3</v>
      </c>
      <c r="G82" s="10" t="s">
        <v>100</v>
      </c>
      <c r="H82" s="10" t="s">
        <v>1261</v>
      </c>
    </row>
    <row r="83" spans="1:8" x14ac:dyDescent="0.2">
      <c r="A83" s="10" t="s">
        <v>588</v>
      </c>
      <c r="B83" s="10" t="s">
        <v>587</v>
      </c>
      <c r="C83" s="10" t="s">
        <v>904</v>
      </c>
      <c r="D83" s="10" t="s">
        <v>1118</v>
      </c>
      <c r="E83" s="10">
        <v>1</v>
      </c>
      <c r="F83" s="10">
        <v>6.2893081761006293E-3</v>
      </c>
      <c r="G83" s="10" t="s">
        <v>100</v>
      </c>
      <c r="H83" s="10" t="s">
        <v>1261</v>
      </c>
    </row>
    <row r="84" spans="1:8" x14ac:dyDescent="0.2">
      <c r="A84" s="10" t="s">
        <v>590</v>
      </c>
      <c r="B84" s="10" t="s">
        <v>589</v>
      </c>
      <c r="C84" s="10" t="s">
        <v>1249</v>
      </c>
      <c r="D84" s="10" t="s">
        <v>1250</v>
      </c>
      <c r="E84" s="10">
        <v>1</v>
      </c>
      <c r="F84" s="10">
        <v>6.2893081761006293E-3</v>
      </c>
      <c r="G84" s="10" t="s">
        <v>100</v>
      </c>
      <c r="H84" s="10" t="s">
        <v>1261</v>
      </c>
    </row>
    <row r="85" spans="1:8" x14ac:dyDescent="0.2">
      <c r="A85" s="10" t="s">
        <v>592</v>
      </c>
      <c r="B85" s="10" t="s">
        <v>591</v>
      </c>
      <c r="C85" s="10" t="s">
        <v>905</v>
      </c>
      <c r="D85" s="10" t="s">
        <v>1119</v>
      </c>
      <c r="E85" s="10">
        <v>2</v>
      </c>
      <c r="F85" s="10">
        <v>1.2578616352201259E-2</v>
      </c>
      <c r="G85" s="10" t="s">
        <v>100</v>
      </c>
      <c r="H85" s="10" t="s">
        <v>1261</v>
      </c>
    </row>
    <row r="86" spans="1:8" x14ac:dyDescent="0.2">
      <c r="A86" s="10" t="s">
        <v>593</v>
      </c>
      <c r="B86" s="10" t="s">
        <v>591</v>
      </c>
      <c r="C86" s="10" t="s">
        <v>906</v>
      </c>
      <c r="D86" s="10" t="s">
        <v>1120</v>
      </c>
      <c r="E86" s="10">
        <v>1</v>
      </c>
      <c r="F86" s="10">
        <v>6.2893081761006293E-3</v>
      </c>
      <c r="G86" s="10" t="s">
        <v>100</v>
      </c>
      <c r="H86" s="10" t="s">
        <v>1261</v>
      </c>
    </row>
    <row r="87" spans="1:8" x14ac:dyDescent="0.2">
      <c r="A87" s="10" t="s">
        <v>594</v>
      </c>
      <c r="B87" s="10" t="s">
        <v>368</v>
      </c>
      <c r="C87" s="10" t="s">
        <v>907</v>
      </c>
      <c r="D87" s="10" t="s">
        <v>1121</v>
      </c>
      <c r="E87" s="10">
        <v>1</v>
      </c>
      <c r="F87" s="10">
        <v>6.2893081761006293E-3</v>
      </c>
      <c r="G87" s="10" t="s">
        <v>100</v>
      </c>
      <c r="H87" s="10" t="s">
        <v>1261</v>
      </c>
    </row>
    <row r="88" spans="1:8" x14ac:dyDescent="0.2">
      <c r="A88" s="10" t="s">
        <v>596</v>
      </c>
      <c r="B88" s="10" t="s">
        <v>595</v>
      </c>
      <c r="C88" s="10" t="s">
        <v>908</v>
      </c>
      <c r="E88" s="10">
        <v>1</v>
      </c>
      <c r="F88" s="10">
        <v>6.2893081761006293E-3</v>
      </c>
      <c r="G88" s="10" t="s">
        <v>100</v>
      </c>
      <c r="H88" s="10" t="s">
        <v>1261</v>
      </c>
    </row>
    <row r="89" spans="1:8" x14ac:dyDescent="0.2">
      <c r="A89" s="10" t="s">
        <v>598</v>
      </c>
      <c r="B89" s="10" t="s">
        <v>597</v>
      </c>
      <c r="C89" s="10" t="s">
        <v>909</v>
      </c>
      <c r="D89" s="10" t="s">
        <v>1122</v>
      </c>
      <c r="E89" s="10">
        <v>1</v>
      </c>
      <c r="F89" s="10">
        <v>6.2893081761006293E-3</v>
      </c>
      <c r="G89" s="10" t="s">
        <v>100</v>
      </c>
      <c r="H89" s="10" t="s">
        <v>1261</v>
      </c>
    </row>
    <row r="90" spans="1:8" x14ac:dyDescent="0.2">
      <c r="A90" s="10" t="s">
        <v>600</v>
      </c>
      <c r="B90" s="10" t="s">
        <v>599</v>
      </c>
      <c r="C90" s="10" t="s">
        <v>910</v>
      </c>
      <c r="D90" s="10" t="s">
        <v>1123</v>
      </c>
      <c r="E90" s="10">
        <v>1</v>
      </c>
      <c r="F90" s="10">
        <v>6.2893081761006293E-3</v>
      </c>
      <c r="G90" s="10" t="s">
        <v>100</v>
      </c>
      <c r="H90" s="10" t="s">
        <v>1261</v>
      </c>
    </row>
    <row r="91" spans="1:8" x14ac:dyDescent="0.2">
      <c r="A91" s="10" t="s">
        <v>602</v>
      </c>
      <c r="B91" s="10" t="s">
        <v>601</v>
      </c>
      <c r="C91" s="10" t="s">
        <v>911</v>
      </c>
      <c r="D91" s="10" t="s">
        <v>1124</v>
      </c>
      <c r="E91" s="10">
        <v>1</v>
      </c>
      <c r="F91" s="10">
        <v>6.2893081761006293E-3</v>
      </c>
      <c r="G91" s="10" t="s">
        <v>100</v>
      </c>
      <c r="H91" s="10" t="s">
        <v>1261</v>
      </c>
    </row>
    <row r="92" spans="1:8" x14ac:dyDescent="0.2">
      <c r="A92" s="10" t="s">
        <v>604</v>
      </c>
      <c r="B92" s="10" t="s">
        <v>603</v>
      </c>
      <c r="C92" s="10" t="s">
        <v>912</v>
      </c>
      <c r="D92" s="10" t="s">
        <v>1125</v>
      </c>
      <c r="E92" s="10">
        <v>1</v>
      </c>
      <c r="F92" s="10">
        <v>6.2893081761006293E-3</v>
      </c>
      <c r="G92" s="10" t="s">
        <v>100</v>
      </c>
      <c r="H92" s="10" t="s">
        <v>1261</v>
      </c>
    </row>
    <row r="93" spans="1:8" x14ac:dyDescent="0.2">
      <c r="A93" s="10" t="s">
        <v>17</v>
      </c>
      <c r="B93" s="10" t="s">
        <v>18</v>
      </c>
      <c r="C93" s="10" t="s">
        <v>913</v>
      </c>
      <c r="D93" s="10" t="s">
        <v>1126</v>
      </c>
      <c r="E93" s="10">
        <v>1</v>
      </c>
      <c r="F93" s="10">
        <v>6.2893081761006293E-3</v>
      </c>
      <c r="G93" s="10" t="s">
        <v>100</v>
      </c>
      <c r="H93" s="10" t="s">
        <v>1261</v>
      </c>
    </row>
    <row r="94" spans="1:8" x14ac:dyDescent="0.2">
      <c r="A94" s="10" t="s">
        <v>606</v>
      </c>
      <c r="B94" s="10" t="s">
        <v>605</v>
      </c>
      <c r="C94" s="10" t="s">
        <v>914</v>
      </c>
      <c r="E94" s="10">
        <v>1</v>
      </c>
      <c r="F94" s="10">
        <v>6.2893081761006293E-3</v>
      </c>
      <c r="G94" s="10" t="s">
        <v>100</v>
      </c>
      <c r="H94" s="10" t="s">
        <v>1261</v>
      </c>
    </row>
    <row r="95" spans="1:8" x14ac:dyDescent="0.2">
      <c r="A95" s="10" t="s">
        <v>608</v>
      </c>
      <c r="B95" s="10" t="s">
        <v>607</v>
      </c>
      <c r="C95" s="10" t="s">
        <v>915</v>
      </c>
      <c r="E95" s="10">
        <v>1</v>
      </c>
      <c r="F95" s="10">
        <v>6.2893081761006293E-3</v>
      </c>
      <c r="G95" s="10" t="s">
        <v>100</v>
      </c>
      <c r="H95" s="10" t="s">
        <v>1261</v>
      </c>
    </row>
    <row r="96" spans="1:8" x14ac:dyDescent="0.2">
      <c r="A96" s="10" t="s">
        <v>608</v>
      </c>
      <c r="B96" s="10" t="s">
        <v>609</v>
      </c>
      <c r="C96" s="10" t="s">
        <v>916</v>
      </c>
      <c r="E96" s="10">
        <v>1</v>
      </c>
      <c r="F96" s="10">
        <v>6.2893081761006293E-3</v>
      </c>
      <c r="G96" s="10" t="s">
        <v>100</v>
      </c>
      <c r="H96" s="10" t="s">
        <v>1261</v>
      </c>
    </row>
    <row r="97" spans="1:8" x14ac:dyDescent="0.2">
      <c r="A97" s="10" t="s">
        <v>611</v>
      </c>
      <c r="B97" s="10" t="s">
        <v>610</v>
      </c>
      <c r="C97" s="10" t="s">
        <v>917</v>
      </c>
      <c r="D97" s="10" t="s">
        <v>1127</v>
      </c>
      <c r="E97" s="10">
        <v>1</v>
      </c>
      <c r="F97" s="10">
        <v>6.2893081761006293E-3</v>
      </c>
      <c r="G97" s="10" t="s">
        <v>100</v>
      </c>
      <c r="H97" s="10" t="s">
        <v>1261</v>
      </c>
    </row>
    <row r="98" spans="1:8" x14ac:dyDescent="0.2">
      <c r="A98" s="10" t="s">
        <v>613</v>
      </c>
      <c r="B98" s="10" t="s">
        <v>612</v>
      </c>
      <c r="C98" s="10" t="s">
        <v>1251</v>
      </c>
      <c r="D98" s="10" t="s">
        <v>1252</v>
      </c>
      <c r="E98" s="10">
        <v>1</v>
      </c>
      <c r="F98" s="10">
        <v>6.2893081761006293E-3</v>
      </c>
      <c r="G98" s="10" t="s">
        <v>100</v>
      </c>
      <c r="H98" s="10" t="s">
        <v>1261</v>
      </c>
    </row>
    <row r="99" spans="1:8" x14ac:dyDescent="0.2">
      <c r="A99" s="10" t="s">
        <v>613</v>
      </c>
      <c r="B99" s="10" t="s">
        <v>612</v>
      </c>
      <c r="C99" s="10" t="s">
        <v>918</v>
      </c>
      <c r="D99" s="10" t="s">
        <v>1128</v>
      </c>
      <c r="E99" s="10">
        <v>1</v>
      </c>
      <c r="F99" s="10">
        <v>6.2893081761006293E-3</v>
      </c>
      <c r="G99" s="10" t="s">
        <v>100</v>
      </c>
      <c r="H99" s="10" t="s">
        <v>1261</v>
      </c>
    </row>
    <row r="100" spans="1:8" x14ac:dyDescent="0.2">
      <c r="A100" s="10" t="s">
        <v>615</v>
      </c>
      <c r="B100" s="10" t="s">
        <v>614</v>
      </c>
      <c r="C100" s="10" t="s">
        <v>919</v>
      </c>
      <c r="D100" s="10" t="s">
        <v>1129</v>
      </c>
      <c r="E100" s="10">
        <v>1</v>
      </c>
      <c r="F100" s="10">
        <v>6.2893081761006293E-3</v>
      </c>
      <c r="G100" s="10" t="s">
        <v>100</v>
      </c>
      <c r="H100" s="10" t="s">
        <v>1261</v>
      </c>
    </row>
    <row r="101" spans="1:8" x14ac:dyDescent="0.2">
      <c r="A101" s="10" t="s">
        <v>616</v>
      </c>
      <c r="B101" s="10" t="s">
        <v>334</v>
      </c>
      <c r="C101" s="10" t="s">
        <v>920</v>
      </c>
      <c r="D101" s="10" t="s">
        <v>1130</v>
      </c>
      <c r="E101" s="10">
        <v>1</v>
      </c>
      <c r="F101" s="10">
        <v>6.2893081761006293E-3</v>
      </c>
      <c r="G101" s="10" t="s">
        <v>100</v>
      </c>
      <c r="H101" s="10" t="s">
        <v>1261</v>
      </c>
    </row>
    <row r="102" spans="1:8" x14ac:dyDescent="0.2">
      <c r="A102" s="10" t="s">
        <v>617</v>
      </c>
      <c r="B102" s="10" t="s">
        <v>2</v>
      </c>
      <c r="C102" s="10" t="s">
        <v>140</v>
      </c>
      <c r="D102" s="10" t="s">
        <v>141</v>
      </c>
      <c r="E102" s="10">
        <v>2</v>
      </c>
      <c r="F102" s="10">
        <v>1.2578616352201259E-2</v>
      </c>
      <c r="G102" s="10" t="s">
        <v>100</v>
      </c>
      <c r="H102" s="10" t="s">
        <v>1261</v>
      </c>
    </row>
    <row r="103" spans="1:8" x14ac:dyDescent="0.2">
      <c r="A103" s="10" t="s">
        <v>618</v>
      </c>
      <c r="B103" s="10" t="s">
        <v>371</v>
      </c>
      <c r="C103" s="10" t="s">
        <v>921</v>
      </c>
      <c r="D103" s="10" t="s">
        <v>1131</v>
      </c>
      <c r="E103" s="10">
        <v>1</v>
      </c>
      <c r="F103" s="10">
        <v>6.2893081761006293E-3</v>
      </c>
      <c r="G103" s="10" t="s">
        <v>100</v>
      </c>
      <c r="H103" s="10" t="s">
        <v>1261</v>
      </c>
    </row>
    <row r="104" spans="1:8" x14ac:dyDescent="0.2">
      <c r="A104" s="10" t="s">
        <v>620</v>
      </c>
      <c r="B104" s="10" t="s">
        <v>619</v>
      </c>
      <c r="C104" s="10" t="s">
        <v>922</v>
      </c>
      <c r="D104" s="10" t="s">
        <v>1132</v>
      </c>
      <c r="E104" s="10">
        <v>2</v>
      </c>
      <c r="F104" s="10">
        <v>1.2578616352201259E-2</v>
      </c>
      <c r="G104" s="10" t="s">
        <v>100</v>
      </c>
      <c r="H104" s="10" t="s">
        <v>1261</v>
      </c>
    </row>
    <row r="105" spans="1:8" x14ac:dyDescent="0.2">
      <c r="A105" s="10" t="s">
        <v>622</v>
      </c>
      <c r="B105" s="10" t="s">
        <v>621</v>
      </c>
      <c r="C105" s="10" t="s">
        <v>923</v>
      </c>
      <c r="D105" s="10" t="s">
        <v>1133</v>
      </c>
      <c r="E105" s="10">
        <v>1</v>
      </c>
      <c r="F105" s="10">
        <v>6.2893081761006293E-3</v>
      </c>
      <c r="G105" s="10" t="s">
        <v>100</v>
      </c>
      <c r="H105" s="10" t="s">
        <v>1261</v>
      </c>
    </row>
    <row r="106" spans="1:8" x14ac:dyDescent="0.2">
      <c r="A106" s="10" t="s">
        <v>623</v>
      </c>
      <c r="B106" s="10" t="s">
        <v>621</v>
      </c>
      <c r="C106" s="10" t="s">
        <v>924</v>
      </c>
      <c r="D106" s="10" t="s">
        <v>1134</v>
      </c>
      <c r="E106" s="10">
        <v>1</v>
      </c>
      <c r="F106" s="10">
        <v>6.2893081761006293E-3</v>
      </c>
      <c r="G106" s="10" t="s">
        <v>100</v>
      </c>
      <c r="H106" s="10" t="s">
        <v>1261</v>
      </c>
    </row>
    <row r="107" spans="1:8" x14ac:dyDescent="0.2">
      <c r="A107" s="10" t="s">
        <v>625</v>
      </c>
      <c r="B107" s="10" t="s">
        <v>624</v>
      </c>
      <c r="C107" s="10" t="s">
        <v>925</v>
      </c>
      <c r="D107" s="10" t="s">
        <v>1135</v>
      </c>
      <c r="E107" s="10">
        <v>1</v>
      </c>
      <c r="F107" s="10">
        <v>6.2893081761006293E-3</v>
      </c>
      <c r="G107" s="10" t="s">
        <v>100</v>
      </c>
      <c r="H107" s="10" t="s">
        <v>1261</v>
      </c>
    </row>
    <row r="108" spans="1:8" x14ac:dyDescent="0.2">
      <c r="A108" s="10" t="s">
        <v>625</v>
      </c>
      <c r="B108" s="10" t="s">
        <v>624</v>
      </c>
      <c r="C108" s="10" t="s">
        <v>926</v>
      </c>
      <c r="D108" s="10" t="s">
        <v>1136</v>
      </c>
      <c r="E108" s="10">
        <v>1</v>
      </c>
      <c r="F108" s="10">
        <v>6.2893081761006293E-3</v>
      </c>
      <c r="G108" s="10" t="s">
        <v>100</v>
      </c>
      <c r="H108" s="10" t="s">
        <v>1261</v>
      </c>
    </row>
    <row r="109" spans="1:8" x14ac:dyDescent="0.2">
      <c r="A109" s="10" t="s">
        <v>626</v>
      </c>
      <c r="B109" s="10" t="s">
        <v>169</v>
      </c>
      <c r="C109" s="10" t="s">
        <v>183</v>
      </c>
      <c r="D109" s="10" t="s">
        <v>184</v>
      </c>
      <c r="E109" s="10">
        <v>3</v>
      </c>
      <c r="F109" s="10">
        <v>1.8867924528301886E-2</v>
      </c>
      <c r="G109" s="10" t="s">
        <v>100</v>
      </c>
      <c r="H109" s="10" t="s">
        <v>1261</v>
      </c>
    </row>
    <row r="110" spans="1:8" x14ac:dyDescent="0.2">
      <c r="A110" s="10" t="s">
        <v>626</v>
      </c>
      <c r="B110" s="10" t="s">
        <v>169</v>
      </c>
      <c r="C110" s="10" t="s">
        <v>175</v>
      </c>
      <c r="D110" s="10" t="s">
        <v>176</v>
      </c>
      <c r="E110" s="10">
        <v>1</v>
      </c>
      <c r="F110" s="10">
        <v>6.2893081761006293E-3</v>
      </c>
      <c r="G110" s="10" t="s">
        <v>100</v>
      </c>
      <c r="H110" s="10" t="s">
        <v>1261</v>
      </c>
    </row>
    <row r="111" spans="1:8" x14ac:dyDescent="0.2">
      <c r="A111" s="10" t="s">
        <v>627</v>
      </c>
      <c r="B111" s="10" t="s">
        <v>169</v>
      </c>
      <c r="C111" s="10" t="s">
        <v>927</v>
      </c>
      <c r="D111" s="10" t="s">
        <v>1137</v>
      </c>
      <c r="E111" s="10">
        <v>4</v>
      </c>
      <c r="F111" s="10">
        <v>2.5157232704402517E-2</v>
      </c>
      <c r="G111" s="10" t="s">
        <v>100</v>
      </c>
      <c r="H111" s="10" t="s">
        <v>1261</v>
      </c>
    </row>
    <row r="112" spans="1:8" x14ac:dyDescent="0.2">
      <c r="A112" s="10" t="s">
        <v>628</v>
      </c>
      <c r="B112" s="10" t="s">
        <v>169</v>
      </c>
      <c r="C112" s="10" t="s">
        <v>928</v>
      </c>
      <c r="D112" s="10" t="s">
        <v>1138</v>
      </c>
      <c r="E112" s="10">
        <v>1</v>
      </c>
      <c r="F112" s="10">
        <v>6.2893081761006293E-3</v>
      </c>
      <c r="G112" s="10" t="s">
        <v>100</v>
      </c>
      <c r="H112" s="10" t="s">
        <v>1261</v>
      </c>
    </row>
    <row r="113" spans="1:8" x14ac:dyDescent="0.2">
      <c r="A113" s="10" t="s">
        <v>628</v>
      </c>
      <c r="B113" s="10" t="s">
        <v>169</v>
      </c>
      <c r="C113" s="10" t="s">
        <v>929</v>
      </c>
      <c r="D113" s="10" t="s">
        <v>1139</v>
      </c>
      <c r="E113" s="10">
        <v>1</v>
      </c>
      <c r="F113" s="10">
        <v>6.2893081761006293E-3</v>
      </c>
      <c r="G113" s="10" t="s">
        <v>100</v>
      </c>
      <c r="H113" s="10" t="s">
        <v>1261</v>
      </c>
    </row>
    <row r="114" spans="1:8" x14ac:dyDescent="0.2">
      <c r="A114" s="10" t="s">
        <v>630</v>
      </c>
      <c r="B114" s="10" t="s">
        <v>629</v>
      </c>
      <c r="C114" s="10" t="s">
        <v>930</v>
      </c>
      <c r="D114" s="10" t="s">
        <v>1140</v>
      </c>
      <c r="E114" s="10">
        <v>1</v>
      </c>
      <c r="F114" s="10">
        <v>6.2893081761006293E-3</v>
      </c>
      <c r="G114" s="10" t="s">
        <v>100</v>
      </c>
      <c r="H114" s="10" t="s">
        <v>1261</v>
      </c>
    </row>
    <row r="115" spans="1:8" x14ac:dyDescent="0.2">
      <c r="A115" s="10" t="s">
        <v>632</v>
      </c>
      <c r="B115" s="10" t="s">
        <v>631</v>
      </c>
      <c r="C115" s="10" t="s">
        <v>931</v>
      </c>
      <c r="D115" s="10" t="s">
        <v>1141</v>
      </c>
      <c r="E115" s="10">
        <v>1</v>
      </c>
      <c r="F115" s="10">
        <v>6.2893081761006293E-3</v>
      </c>
      <c r="G115" s="10" t="s">
        <v>100</v>
      </c>
      <c r="H115" s="10" t="s">
        <v>1261</v>
      </c>
    </row>
    <row r="116" spans="1:8" x14ac:dyDescent="0.2">
      <c r="A116" s="10" t="s">
        <v>634</v>
      </c>
      <c r="B116" s="10" t="s">
        <v>633</v>
      </c>
      <c r="C116" s="10" t="s">
        <v>932</v>
      </c>
      <c r="D116" s="10" t="s">
        <v>1142</v>
      </c>
      <c r="E116" s="10">
        <v>1</v>
      </c>
      <c r="F116" s="10">
        <v>6.2893081761006293E-3</v>
      </c>
      <c r="G116" s="10" t="s">
        <v>100</v>
      </c>
      <c r="H116" s="10" t="s">
        <v>1261</v>
      </c>
    </row>
    <row r="117" spans="1:8" x14ac:dyDescent="0.2">
      <c r="A117" s="10" t="s">
        <v>635</v>
      </c>
      <c r="B117" s="10" t="s">
        <v>313</v>
      </c>
      <c r="C117" s="10" t="s">
        <v>933</v>
      </c>
      <c r="D117" s="10" t="s">
        <v>1143</v>
      </c>
      <c r="E117" s="10">
        <v>1</v>
      </c>
      <c r="F117" s="10">
        <v>6.2893081761006293E-3</v>
      </c>
      <c r="G117" s="10" t="s">
        <v>100</v>
      </c>
      <c r="H117" s="10" t="s">
        <v>1261</v>
      </c>
    </row>
    <row r="118" spans="1:8" x14ac:dyDescent="0.2">
      <c r="A118" s="10" t="s">
        <v>637</v>
      </c>
      <c r="B118" s="10" t="s">
        <v>636</v>
      </c>
      <c r="C118" s="10" t="s">
        <v>934</v>
      </c>
      <c r="E118" s="10">
        <v>1</v>
      </c>
      <c r="F118" s="10">
        <v>6.2893081761006293E-3</v>
      </c>
      <c r="G118" s="10" t="s">
        <v>100</v>
      </c>
      <c r="H118" s="10" t="s">
        <v>1261</v>
      </c>
    </row>
    <row r="119" spans="1:8" x14ac:dyDescent="0.2">
      <c r="A119" s="10" t="s">
        <v>638</v>
      </c>
      <c r="B119" s="10" t="s">
        <v>340</v>
      </c>
      <c r="C119" s="10" t="s">
        <v>935</v>
      </c>
      <c r="D119" s="10" t="s">
        <v>1144</v>
      </c>
      <c r="E119" s="10">
        <v>1</v>
      </c>
      <c r="F119" s="10">
        <v>6.2893081761006293E-3</v>
      </c>
      <c r="G119" s="10" t="s">
        <v>100</v>
      </c>
      <c r="H119" s="10" t="s">
        <v>1261</v>
      </c>
    </row>
    <row r="120" spans="1:8" x14ac:dyDescent="0.2">
      <c r="A120" s="10" t="s">
        <v>640</v>
      </c>
      <c r="B120" s="10" t="s">
        <v>639</v>
      </c>
      <c r="C120" s="10" t="s">
        <v>936</v>
      </c>
      <c r="D120" s="10" t="s">
        <v>1145</v>
      </c>
      <c r="E120" s="10">
        <v>1</v>
      </c>
      <c r="F120" s="10">
        <v>6.2893081761006293E-3</v>
      </c>
      <c r="G120" s="10" t="s">
        <v>100</v>
      </c>
      <c r="H120" s="10" t="s">
        <v>1261</v>
      </c>
    </row>
    <row r="121" spans="1:8" x14ac:dyDescent="0.2">
      <c r="A121" s="10" t="s">
        <v>642</v>
      </c>
      <c r="B121" s="10" t="s">
        <v>641</v>
      </c>
      <c r="C121" s="10" t="s">
        <v>937</v>
      </c>
      <c r="D121" s="10" t="s">
        <v>1146</v>
      </c>
      <c r="E121" s="10">
        <v>1</v>
      </c>
      <c r="F121" s="10">
        <v>6.2893081761006293E-3</v>
      </c>
      <c r="G121" s="10" t="s">
        <v>100</v>
      </c>
      <c r="H121" s="10" t="s">
        <v>1261</v>
      </c>
    </row>
    <row r="122" spans="1:8" x14ac:dyDescent="0.2">
      <c r="A122" s="10" t="s">
        <v>642</v>
      </c>
      <c r="B122" s="10" t="s">
        <v>641</v>
      </c>
      <c r="C122" s="10" t="s">
        <v>938</v>
      </c>
      <c r="D122" s="10" t="s">
        <v>1147</v>
      </c>
      <c r="E122" s="10">
        <v>1</v>
      </c>
      <c r="F122" s="10">
        <v>6.2893081761006293E-3</v>
      </c>
      <c r="G122" s="10" t="s">
        <v>100</v>
      </c>
      <c r="H122" s="10" t="s">
        <v>1261</v>
      </c>
    </row>
    <row r="123" spans="1:8" x14ac:dyDescent="0.2">
      <c r="A123" s="10" t="s">
        <v>642</v>
      </c>
      <c r="B123" s="10" t="s">
        <v>641</v>
      </c>
      <c r="C123" s="10" t="s">
        <v>939</v>
      </c>
      <c r="D123" s="10" t="s">
        <v>1148</v>
      </c>
      <c r="E123" s="10">
        <v>1</v>
      </c>
      <c r="F123" s="10">
        <v>6.2893081761006293E-3</v>
      </c>
      <c r="G123" s="10" t="s">
        <v>100</v>
      </c>
      <c r="H123" s="10" t="s">
        <v>1261</v>
      </c>
    </row>
    <row r="124" spans="1:8" x14ac:dyDescent="0.2">
      <c r="A124" s="10" t="s">
        <v>644</v>
      </c>
      <c r="B124" s="10" t="s">
        <v>643</v>
      </c>
      <c r="C124" s="10" t="s">
        <v>940</v>
      </c>
      <c r="D124" s="10" t="s">
        <v>1149</v>
      </c>
      <c r="E124" s="10">
        <v>1</v>
      </c>
      <c r="F124" s="10">
        <v>6.2893081761006293E-3</v>
      </c>
      <c r="G124" s="10" t="s">
        <v>100</v>
      </c>
      <c r="H124" s="10" t="s">
        <v>1261</v>
      </c>
    </row>
    <row r="125" spans="1:8" x14ac:dyDescent="0.2">
      <c r="A125" s="10" t="s">
        <v>646</v>
      </c>
      <c r="B125" s="10" t="s">
        <v>645</v>
      </c>
      <c r="C125" s="10" t="s">
        <v>941</v>
      </c>
      <c r="D125" s="10" t="s">
        <v>1150</v>
      </c>
      <c r="E125" s="10">
        <v>1</v>
      </c>
      <c r="F125" s="10">
        <v>6.2893081761006293E-3</v>
      </c>
      <c r="G125" s="10" t="s">
        <v>100</v>
      </c>
      <c r="H125" s="10" t="s">
        <v>1261</v>
      </c>
    </row>
    <row r="126" spans="1:8" x14ac:dyDescent="0.2">
      <c r="A126" s="10" t="s">
        <v>648</v>
      </c>
      <c r="B126" s="10" t="s">
        <v>647</v>
      </c>
      <c r="C126" s="10" t="s">
        <v>942</v>
      </c>
      <c r="D126" s="10" t="s">
        <v>1151</v>
      </c>
      <c r="E126" s="10">
        <v>1</v>
      </c>
      <c r="F126" s="10">
        <v>6.2893081761006293E-3</v>
      </c>
      <c r="G126" s="10" t="s">
        <v>100</v>
      </c>
      <c r="H126" s="10" t="s">
        <v>1261</v>
      </c>
    </row>
    <row r="127" spans="1:8" x14ac:dyDescent="0.2">
      <c r="A127" s="10" t="s">
        <v>650</v>
      </c>
      <c r="B127" s="10" t="s">
        <v>649</v>
      </c>
      <c r="C127" s="10" t="s">
        <v>943</v>
      </c>
      <c r="E127" s="10">
        <v>1</v>
      </c>
      <c r="F127" s="10">
        <v>6.2893081761006293E-3</v>
      </c>
      <c r="G127" s="10" t="s">
        <v>100</v>
      </c>
      <c r="H127" s="10" t="s">
        <v>1261</v>
      </c>
    </row>
    <row r="128" spans="1:8" x14ac:dyDescent="0.2">
      <c r="A128" s="10" t="s">
        <v>652</v>
      </c>
      <c r="B128" s="10" t="s">
        <v>651</v>
      </c>
      <c r="C128" s="10" t="s">
        <v>944</v>
      </c>
      <c r="E128" s="10">
        <v>2</v>
      </c>
      <c r="F128" s="10">
        <v>1.2578616352201259E-2</v>
      </c>
      <c r="G128" s="10" t="s">
        <v>100</v>
      </c>
      <c r="H128" s="10" t="s">
        <v>1261</v>
      </c>
    </row>
    <row r="129" spans="1:8" x14ac:dyDescent="0.2">
      <c r="A129" s="10" t="s">
        <v>654</v>
      </c>
      <c r="B129" s="10" t="s">
        <v>653</v>
      </c>
      <c r="C129" s="10" t="s">
        <v>945</v>
      </c>
      <c r="E129" s="10">
        <v>1</v>
      </c>
      <c r="F129" s="10">
        <v>6.2893081761006293E-3</v>
      </c>
      <c r="G129" s="10" t="s">
        <v>100</v>
      </c>
      <c r="H129" s="10" t="s">
        <v>1261</v>
      </c>
    </row>
    <row r="130" spans="1:8" x14ac:dyDescent="0.2">
      <c r="A130" s="10" t="s">
        <v>656</v>
      </c>
      <c r="B130" s="10" t="s">
        <v>655</v>
      </c>
      <c r="C130" s="10" t="s">
        <v>946</v>
      </c>
      <c r="D130" s="10" t="s">
        <v>1152</v>
      </c>
      <c r="E130" s="10">
        <v>1</v>
      </c>
      <c r="F130" s="10">
        <v>6.2893081761006293E-3</v>
      </c>
      <c r="G130" s="10" t="s">
        <v>100</v>
      </c>
      <c r="H130" s="10" t="s">
        <v>1261</v>
      </c>
    </row>
    <row r="131" spans="1:8" x14ac:dyDescent="0.2">
      <c r="A131" s="10" t="s">
        <v>657</v>
      </c>
      <c r="B131" s="10" t="s">
        <v>286</v>
      </c>
      <c r="C131" s="10" t="s">
        <v>947</v>
      </c>
      <c r="D131" s="10" t="s">
        <v>1153</v>
      </c>
      <c r="E131" s="10">
        <v>1</v>
      </c>
      <c r="F131" s="10">
        <v>6.2893081761006293E-3</v>
      </c>
      <c r="G131" s="10" t="s">
        <v>100</v>
      </c>
      <c r="H131" s="10" t="s">
        <v>1261</v>
      </c>
    </row>
    <row r="132" spans="1:8" x14ac:dyDescent="0.2">
      <c r="A132" s="10" t="s">
        <v>659</v>
      </c>
      <c r="B132" s="10" t="s">
        <v>658</v>
      </c>
      <c r="C132" s="10" t="s">
        <v>948</v>
      </c>
      <c r="E132" s="10">
        <v>1</v>
      </c>
      <c r="F132" s="10">
        <v>6.2893081761006293E-3</v>
      </c>
      <c r="G132" s="10" t="s">
        <v>100</v>
      </c>
      <c r="H132" s="10" t="s">
        <v>1261</v>
      </c>
    </row>
    <row r="133" spans="1:8" x14ac:dyDescent="0.2">
      <c r="A133" s="10" t="s">
        <v>661</v>
      </c>
      <c r="B133" s="10" t="s">
        <v>660</v>
      </c>
      <c r="C133" s="10" t="s">
        <v>889</v>
      </c>
      <c r="D133" s="10" t="s">
        <v>1104</v>
      </c>
      <c r="E133" s="10">
        <v>1</v>
      </c>
      <c r="F133" s="10">
        <v>6.2893081761006293E-3</v>
      </c>
      <c r="G133" s="10" t="s">
        <v>100</v>
      </c>
      <c r="H133" s="10" t="s">
        <v>1261</v>
      </c>
    </row>
    <row r="134" spans="1:8" x14ac:dyDescent="0.2">
      <c r="A134" s="10" t="s">
        <v>663</v>
      </c>
      <c r="B134" s="10" t="s">
        <v>662</v>
      </c>
      <c r="C134" s="10" t="s">
        <v>949</v>
      </c>
      <c r="D134" s="10" t="s">
        <v>1154</v>
      </c>
      <c r="E134" s="10">
        <v>1</v>
      </c>
      <c r="F134" s="10">
        <v>6.2893081761006293E-3</v>
      </c>
      <c r="G134" s="10" t="s">
        <v>100</v>
      </c>
      <c r="H134" s="10" t="s">
        <v>1261</v>
      </c>
    </row>
    <row r="135" spans="1:8" x14ac:dyDescent="0.2">
      <c r="A135" s="10" t="s">
        <v>544</v>
      </c>
      <c r="B135" s="10" t="s">
        <v>298</v>
      </c>
      <c r="C135" s="10" t="s">
        <v>950</v>
      </c>
      <c r="D135" s="10" t="s">
        <v>1155</v>
      </c>
      <c r="E135" s="10">
        <v>1</v>
      </c>
      <c r="F135" s="10">
        <v>6.2893081761006293E-3</v>
      </c>
      <c r="G135" s="10" t="s">
        <v>100</v>
      </c>
      <c r="H135" s="10" t="s">
        <v>1261</v>
      </c>
    </row>
    <row r="136" spans="1:8" x14ac:dyDescent="0.2">
      <c r="A136" s="10" t="s">
        <v>665</v>
      </c>
      <c r="B136" s="10" t="s">
        <v>664</v>
      </c>
      <c r="C136" s="10" t="s">
        <v>951</v>
      </c>
      <c r="D136" s="10" t="s">
        <v>1156</v>
      </c>
      <c r="E136" s="10">
        <v>1</v>
      </c>
      <c r="F136" s="10">
        <v>6.2893081761006293E-3</v>
      </c>
      <c r="G136" s="10" t="s">
        <v>100</v>
      </c>
      <c r="H136" s="10" t="s">
        <v>1261</v>
      </c>
    </row>
    <row r="137" spans="1:8" x14ac:dyDescent="0.2">
      <c r="A137" s="10" t="s">
        <v>667</v>
      </c>
      <c r="B137" s="10" t="s">
        <v>666</v>
      </c>
      <c r="C137" s="10" t="s">
        <v>952</v>
      </c>
      <c r="E137" s="10">
        <v>1</v>
      </c>
      <c r="F137" s="10">
        <v>6.2893081761006293E-3</v>
      </c>
      <c r="G137" s="10" t="s">
        <v>100</v>
      </c>
      <c r="H137" s="10" t="s">
        <v>1261</v>
      </c>
    </row>
    <row r="138" spans="1:8" x14ac:dyDescent="0.2">
      <c r="A138" s="10" t="s">
        <v>669</v>
      </c>
      <c r="B138" s="10" t="s">
        <v>668</v>
      </c>
      <c r="C138" s="10" t="s">
        <v>953</v>
      </c>
      <c r="D138" s="10" t="s">
        <v>1157</v>
      </c>
      <c r="E138" s="10">
        <v>1</v>
      </c>
      <c r="F138" s="10">
        <v>6.2893081761006293E-3</v>
      </c>
      <c r="G138" s="10" t="s">
        <v>100</v>
      </c>
      <c r="H138" s="10" t="s">
        <v>1261</v>
      </c>
    </row>
    <row r="139" spans="1:8" x14ac:dyDescent="0.2">
      <c r="A139" s="10" t="s">
        <v>671</v>
      </c>
      <c r="B139" s="10" t="s">
        <v>670</v>
      </c>
      <c r="C139" s="10" t="s">
        <v>954</v>
      </c>
      <c r="D139" s="10" t="s">
        <v>1158</v>
      </c>
      <c r="E139" s="10">
        <v>1</v>
      </c>
      <c r="F139" s="10">
        <v>6.2893081761006293E-3</v>
      </c>
      <c r="G139" s="10" t="s">
        <v>100</v>
      </c>
      <c r="H139" s="10" t="s">
        <v>1261</v>
      </c>
    </row>
    <row r="140" spans="1:8" x14ac:dyDescent="0.2">
      <c r="A140" s="10" t="s">
        <v>673</v>
      </c>
      <c r="B140" s="10" t="s">
        <v>672</v>
      </c>
      <c r="C140" s="10" t="s">
        <v>955</v>
      </c>
      <c r="E140" s="10">
        <v>1</v>
      </c>
      <c r="F140" s="10">
        <v>6.2893081761006293E-3</v>
      </c>
      <c r="G140" s="10" t="s">
        <v>100</v>
      </c>
      <c r="H140" s="10" t="s">
        <v>1261</v>
      </c>
    </row>
    <row r="141" spans="1:8" x14ac:dyDescent="0.2">
      <c r="A141" s="10" t="s">
        <v>675</v>
      </c>
      <c r="B141" s="10" t="s">
        <v>674</v>
      </c>
      <c r="C141" s="10" t="s">
        <v>956</v>
      </c>
      <c r="D141" s="10" t="s">
        <v>1159</v>
      </c>
      <c r="E141" s="10">
        <v>1</v>
      </c>
      <c r="F141" s="10">
        <v>6.2893081761006293E-3</v>
      </c>
      <c r="G141" s="10" t="s">
        <v>100</v>
      </c>
      <c r="H141" s="10" t="s">
        <v>1261</v>
      </c>
    </row>
    <row r="142" spans="1:8" x14ac:dyDescent="0.2">
      <c r="A142" s="10" t="s">
        <v>677</v>
      </c>
      <c r="B142" s="10" t="s">
        <v>676</v>
      </c>
      <c r="C142" s="10" t="s">
        <v>957</v>
      </c>
      <c r="D142" s="10" t="s">
        <v>1160</v>
      </c>
      <c r="E142" s="10">
        <v>1</v>
      </c>
      <c r="F142" s="10">
        <v>6.2893081761006293E-3</v>
      </c>
      <c r="G142" s="10" t="s">
        <v>100</v>
      </c>
      <c r="H142" s="10" t="s">
        <v>1261</v>
      </c>
    </row>
    <row r="143" spans="1:8" x14ac:dyDescent="0.2">
      <c r="A143" s="10" t="s">
        <v>678</v>
      </c>
      <c r="B143" s="10" t="s">
        <v>377</v>
      </c>
      <c r="C143" s="10" t="s">
        <v>958</v>
      </c>
      <c r="D143" s="10" t="s">
        <v>1161</v>
      </c>
      <c r="E143" s="10">
        <v>1</v>
      </c>
      <c r="F143" s="10">
        <v>6.2893081761006293E-3</v>
      </c>
      <c r="G143" s="10" t="s">
        <v>100</v>
      </c>
      <c r="H143" s="10" t="s">
        <v>1261</v>
      </c>
    </row>
    <row r="144" spans="1:8" x14ac:dyDescent="0.2">
      <c r="A144" s="10" t="s">
        <v>680</v>
      </c>
      <c r="B144" s="10" t="s">
        <v>679</v>
      </c>
      <c r="C144" s="10" t="s">
        <v>959</v>
      </c>
      <c r="E144" s="10">
        <v>1</v>
      </c>
      <c r="F144" s="10">
        <v>6.2893081761006293E-3</v>
      </c>
      <c r="G144" s="10" t="s">
        <v>100</v>
      </c>
      <c r="H144" s="10" t="s">
        <v>1261</v>
      </c>
    </row>
    <row r="145" spans="1:8" x14ac:dyDescent="0.2">
      <c r="A145" s="10" t="s">
        <v>682</v>
      </c>
      <c r="B145" s="10" t="s">
        <v>681</v>
      </c>
      <c r="C145" s="10" t="s">
        <v>960</v>
      </c>
      <c r="D145" s="10" t="s">
        <v>1162</v>
      </c>
      <c r="E145" s="10">
        <v>1</v>
      </c>
      <c r="F145" s="10">
        <v>6.2893081761006293E-3</v>
      </c>
      <c r="G145" s="10" t="s">
        <v>100</v>
      </c>
      <c r="H145" s="10" t="s">
        <v>1261</v>
      </c>
    </row>
    <row r="146" spans="1:8" x14ac:dyDescent="0.2">
      <c r="A146" s="10" t="s">
        <v>682</v>
      </c>
      <c r="B146" s="10" t="s">
        <v>681</v>
      </c>
      <c r="C146" s="10" t="s">
        <v>961</v>
      </c>
      <c r="D146" s="10" t="s">
        <v>1163</v>
      </c>
      <c r="E146" s="10">
        <v>1</v>
      </c>
      <c r="F146" s="10">
        <v>6.2893081761006293E-3</v>
      </c>
      <c r="G146" s="10" t="s">
        <v>100</v>
      </c>
      <c r="H146" s="10" t="s">
        <v>1261</v>
      </c>
    </row>
    <row r="147" spans="1:8" x14ac:dyDescent="0.2">
      <c r="A147" s="10" t="s">
        <v>684</v>
      </c>
      <c r="B147" s="10" t="s">
        <v>683</v>
      </c>
      <c r="C147" s="10" t="s">
        <v>962</v>
      </c>
      <c r="E147" s="10">
        <v>1</v>
      </c>
      <c r="F147" s="10">
        <v>6.2893081761006293E-3</v>
      </c>
      <c r="G147" s="10" t="s">
        <v>100</v>
      </c>
      <c r="H147" s="10" t="s">
        <v>1261</v>
      </c>
    </row>
    <row r="148" spans="1:8" x14ac:dyDescent="0.2">
      <c r="A148" s="10" t="s">
        <v>686</v>
      </c>
      <c r="B148" s="10" t="s">
        <v>685</v>
      </c>
      <c r="C148" s="10" t="s">
        <v>963</v>
      </c>
      <c r="D148" s="10" t="s">
        <v>1164</v>
      </c>
      <c r="E148" s="10">
        <v>1</v>
      </c>
      <c r="F148" s="10">
        <v>6.2893081761006293E-3</v>
      </c>
      <c r="G148" s="10" t="s">
        <v>100</v>
      </c>
      <c r="H148" s="10" t="s">
        <v>1261</v>
      </c>
    </row>
    <row r="149" spans="1:8" x14ac:dyDescent="0.2">
      <c r="A149" s="10" t="s">
        <v>688</v>
      </c>
      <c r="B149" s="10" t="s">
        <v>687</v>
      </c>
      <c r="C149" s="10" t="s">
        <v>964</v>
      </c>
      <c r="D149" s="10" t="s">
        <v>1165</v>
      </c>
      <c r="E149" s="10">
        <v>1</v>
      </c>
      <c r="F149" s="10">
        <v>6.2893081761006293E-3</v>
      </c>
      <c r="G149" s="10" t="s">
        <v>100</v>
      </c>
      <c r="H149" s="10" t="s">
        <v>1261</v>
      </c>
    </row>
    <row r="150" spans="1:8" x14ac:dyDescent="0.2">
      <c r="A150" s="10" t="s">
        <v>689</v>
      </c>
      <c r="B150" s="10" t="s">
        <v>324</v>
      </c>
      <c r="C150" s="10" t="s">
        <v>326</v>
      </c>
      <c r="D150" s="10" t="s">
        <v>1166</v>
      </c>
      <c r="E150" s="10">
        <v>1</v>
      </c>
      <c r="F150" s="10">
        <v>6.2893081761006293E-3</v>
      </c>
      <c r="G150" s="10" t="s">
        <v>100</v>
      </c>
      <c r="H150" s="10" t="s">
        <v>1261</v>
      </c>
    </row>
    <row r="151" spans="1:8" x14ac:dyDescent="0.2">
      <c r="A151" s="10" t="s">
        <v>691</v>
      </c>
      <c r="B151" s="10" t="s">
        <v>690</v>
      </c>
      <c r="C151" s="10" t="s">
        <v>965</v>
      </c>
      <c r="D151" s="10" t="s">
        <v>1167</v>
      </c>
      <c r="E151" s="10">
        <v>1</v>
      </c>
      <c r="F151" s="10">
        <v>6.2893081761006293E-3</v>
      </c>
      <c r="G151" s="10" t="s">
        <v>100</v>
      </c>
      <c r="H151" s="10" t="s">
        <v>1261</v>
      </c>
    </row>
    <row r="152" spans="1:8" x14ac:dyDescent="0.2">
      <c r="A152" s="10" t="s">
        <v>693</v>
      </c>
      <c r="B152" s="10" t="s">
        <v>692</v>
      </c>
      <c r="C152" s="10" t="s">
        <v>966</v>
      </c>
      <c r="D152" s="10" t="s">
        <v>1168</v>
      </c>
      <c r="E152" s="10">
        <v>1</v>
      </c>
      <c r="F152" s="10">
        <v>6.2893081761006293E-3</v>
      </c>
      <c r="G152" s="10" t="s">
        <v>100</v>
      </c>
      <c r="H152" s="10" t="s">
        <v>1261</v>
      </c>
    </row>
    <row r="153" spans="1:8" x14ac:dyDescent="0.2">
      <c r="A153" s="10" t="s">
        <v>695</v>
      </c>
      <c r="B153" s="10" t="s">
        <v>694</v>
      </c>
      <c r="C153" s="10" t="s">
        <v>967</v>
      </c>
      <c r="D153" s="10" t="s">
        <v>1169</v>
      </c>
      <c r="E153" s="10">
        <v>1</v>
      </c>
      <c r="F153" s="10">
        <v>6.2893081761006293E-3</v>
      </c>
      <c r="G153" s="10" t="s">
        <v>100</v>
      </c>
      <c r="H153" s="10" t="s">
        <v>1261</v>
      </c>
    </row>
    <row r="154" spans="1:8" x14ac:dyDescent="0.2">
      <c r="A154" s="10" t="s">
        <v>697</v>
      </c>
      <c r="B154" s="10" t="s">
        <v>696</v>
      </c>
      <c r="C154" s="10" t="s">
        <v>968</v>
      </c>
      <c r="D154" s="10" t="s">
        <v>1170</v>
      </c>
      <c r="E154" s="10">
        <v>1</v>
      </c>
      <c r="F154" s="10">
        <v>6.2893081761006293E-3</v>
      </c>
      <c r="G154" s="10" t="s">
        <v>100</v>
      </c>
      <c r="H154" s="10" t="s">
        <v>1261</v>
      </c>
    </row>
    <row r="155" spans="1:8" x14ac:dyDescent="0.2">
      <c r="A155" s="10" t="s">
        <v>699</v>
      </c>
      <c r="B155" s="10" t="s">
        <v>698</v>
      </c>
      <c r="C155" s="10" t="s">
        <v>969</v>
      </c>
      <c r="D155" s="10" t="s">
        <v>1171</v>
      </c>
      <c r="E155" s="10">
        <v>1</v>
      </c>
      <c r="F155" s="10">
        <v>6.2893081761006293E-3</v>
      </c>
      <c r="G155" s="10" t="s">
        <v>100</v>
      </c>
      <c r="H155" s="10" t="s">
        <v>1261</v>
      </c>
    </row>
    <row r="156" spans="1:8" x14ac:dyDescent="0.2">
      <c r="A156" s="10" t="s">
        <v>699</v>
      </c>
      <c r="B156" s="10" t="s">
        <v>698</v>
      </c>
      <c r="C156" s="10" t="s">
        <v>970</v>
      </c>
      <c r="D156" s="10" t="s">
        <v>1172</v>
      </c>
      <c r="E156" s="10">
        <v>4</v>
      </c>
      <c r="F156" s="10">
        <v>2.5157232704402517E-2</v>
      </c>
      <c r="G156" s="10" t="s">
        <v>100</v>
      </c>
      <c r="H156" s="10" t="s">
        <v>1261</v>
      </c>
    </row>
    <row r="157" spans="1:8" x14ac:dyDescent="0.2">
      <c r="A157" s="10" t="s">
        <v>699</v>
      </c>
      <c r="B157" s="10" t="s">
        <v>698</v>
      </c>
      <c r="C157" s="10" t="s">
        <v>971</v>
      </c>
      <c r="D157" s="10" t="s">
        <v>1173</v>
      </c>
      <c r="E157" s="10">
        <v>1</v>
      </c>
      <c r="F157" s="10">
        <v>6.2893081761006293E-3</v>
      </c>
      <c r="G157" s="10" t="s">
        <v>100</v>
      </c>
      <c r="H157" s="10" t="s">
        <v>1261</v>
      </c>
    </row>
    <row r="158" spans="1:8" x14ac:dyDescent="0.2">
      <c r="A158" s="10" t="s">
        <v>701</v>
      </c>
      <c r="B158" s="10" t="s">
        <v>700</v>
      </c>
      <c r="C158" s="10" t="s">
        <v>972</v>
      </c>
      <c r="D158" s="10" t="s">
        <v>1174</v>
      </c>
      <c r="E158" s="10">
        <v>1</v>
      </c>
      <c r="F158" s="10">
        <v>6.2893081761006293E-3</v>
      </c>
      <c r="G158" s="10" t="s">
        <v>100</v>
      </c>
      <c r="H158" s="10" t="s">
        <v>1261</v>
      </c>
    </row>
    <row r="159" spans="1:8" x14ac:dyDescent="0.2">
      <c r="A159" s="10" t="s">
        <v>702</v>
      </c>
      <c r="B159" s="10" t="s">
        <v>32</v>
      </c>
      <c r="C159" s="10" t="s">
        <v>973</v>
      </c>
      <c r="E159" s="10">
        <v>1</v>
      </c>
      <c r="F159" s="10">
        <v>6.2893081761006293E-3</v>
      </c>
      <c r="G159" s="10" t="s">
        <v>100</v>
      </c>
      <c r="H159" s="10" t="s">
        <v>1261</v>
      </c>
    </row>
    <row r="160" spans="1:8" x14ac:dyDescent="0.2">
      <c r="A160" s="10" t="s">
        <v>702</v>
      </c>
      <c r="B160" s="10" t="s">
        <v>36</v>
      </c>
      <c r="C160" s="10" t="s">
        <v>974</v>
      </c>
      <c r="D160" s="10" t="s">
        <v>1175</v>
      </c>
      <c r="E160" s="10">
        <v>1</v>
      </c>
      <c r="F160" s="10">
        <v>6.2893081761006293E-3</v>
      </c>
      <c r="G160" s="10" t="s">
        <v>100</v>
      </c>
      <c r="H160" s="10" t="s">
        <v>1261</v>
      </c>
    </row>
    <row r="161" spans="1:8" x14ac:dyDescent="0.2">
      <c r="A161" s="10" t="s">
        <v>704</v>
      </c>
      <c r="B161" s="10" t="s">
        <v>703</v>
      </c>
      <c r="C161" s="10" t="s">
        <v>975</v>
      </c>
      <c r="D161" s="10" t="s">
        <v>1176</v>
      </c>
      <c r="E161" s="10">
        <v>1</v>
      </c>
      <c r="F161" s="10">
        <v>6.2893081761006293E-3</v>
      </c>
      <c r="G161" s="10" t="s">
        <v>100</v>
      </c>
      <c r="H161" s="10" t="s">
        <v>1261</v>
      </c>
    </row>
    <row r="162" spans="1:8" x14ac:dyDescent="0.2">
      <c r="A162" s="10" t="s">
        <v>705</v>
      </c>
      <c r="B162" s="10" t="s">
        <v>703</v>
      </c>
      <c r="C162" s="10" t="s">
        <v>976</v>
      </c>
      <c r="D162" s="10" t="s">
        <v>1177</v>
      </c>
      <c r="E162" s="10">
        <v>1</v>
      </c>
      <c r="F162" s="10">
        <v>6.2893081761006293E-3</v>
      </c>
      <c r="G162" s="10" t="s">
        <v>100</v>
      </c>
      <c r="H162" s="10" t="s">
        <v>1261</v>
      </c>
    </row>
    <row r="163" spans="1:8" x14ac:dyDescent="0.2">
      <c r="A163" s="10" t="s">
        <v>707</v>
      </c>
      <c r="B163" s="10" t="s">
        <v>706</v>
      </c>
      <c r="C163" s="10" t="s">
        <v>977</v>
      </c>
      <c r="D163" s="10" t="s">
        <v>1178</v>
      </c>
      <c r="E163" s="10">
        <v>2</v>
      </c>
      <c r="F163" s="10">
        <v>1.2578616352201259E-2</v>
      </c>
      <c r="G163" s="10" t="s">
        <v>100</v>
      </c>
      <c r="H163" s="10" t="s">
        <v>1261</v>
      </c>
    </row>
    <row r="164" spans="1:8" x14ac:dyDescent="0.2">
      <c r="A164" s="10" t="s">
        <v>709</v>
      </c>
      <c r="B164" s="10" t="s">
        <v>708</v>
      </c>
      <c r="C164" s="10" t="s">
        <v>978</v>
      </c>
      <c r="D164" s="10" t="s">
        <v>1179</v>
      </c>
      <c r="E164" s="10">
        <v>1</v>
      </c>
      <c r="F164" s="10">
        <v>6.2893081761006293E-3</v>
      </c>
      <c r="G164" s="10" t="s">
        <v>100</v>
      </c>
      <c r="H164" s="10" t="s">
        <v>1261</v>
      </c>
    </row>
    <row r="165" spans="1:8" x14ac:dyDescent="0.2">
      <c r="A165" s="10" t="s">
        <v>709</v>
      </c>
      <c r="B165" s="10" t="s">
        <v>708</v>
      </c>
      <c r="C165" s="10" t="s">
        <v>979</v>
      </c>
      <c r="D165" s="10" t="s">
        <v>1180</v>
      </c>
      <c r="E165" s="10">
        <v>1</v>
      </c>
      <c r="F165" s="10">
        <v>6.2893081761006293E-3</v>
      </c>
      <c r="G165" s="10" t="s">
        <v>100</v>
      </c>
      <c r="H165" s="10" t="s">
        <v>1261</v>
      </c>
    </row>
    <row r="166" spans="1:8" x14ac:dyDescent="0.2">
      <c r="A166" s="10" t="s">
        <v>709</v>
      </c>
      <c r="B166" s="10" t="s">
        <v>708</v>
      </c>
      <c r="C166" s="10" t="s">
        <v>980</v>
      </c>
      <c r="D166" s="10" t="s">
        <v>1181</v>
      </c>
      <c r="E166" s="10">
        <v>1</v>
      </c>
      <c r="F166" s="10">
        <v>6.2893081761006293E-3</v>
      </c>
      <c r="G166" s="10" t="s">
        <v>100</v>
      </c>
      <c r="H166" s="10" t="s">
        <v>1261</v>
      </c>
    </row>
    <row r="167" spans="1:8" x14ac:dyDescent="0.2">
      <c r="A167" s="10" t="s">
        <v>709</v>
      </c>
      <c r="B167" s="10" t="s">
        <v>708</v>
      </c>
      <c r="C167" s="10" t="s">
        <v>981</v>
      </c>
      <c r="D167" s="10" t="s">
        <v>1182</v>
      </c>
      <c r="E167" s="10">
        <v>1</v>
      </c>
      <c r="F167" s="10">
        <v>6.2893081761006293E-3</v>
      </c>
      <c r="G167" s="10" t="s">
        <v>100</v>
      </c>
      <c r="H167" s="10" t="s">
        <v>1261</v>
      </c>
    </row>
    <row r="168" spans="1:8" x14ac:dyDescent="0.2">
      <c r="A168" s="10" t="s">
        <v>711</v>
      </c>
      <c r="B168" s="10" t="s">
        <v>710</v>
      </c>
      <c r="C168" s="10" t="s">
        <v>982</v>
      </c>
      <c r="E168" s="10">
        <v>1</v>
      </c>
      <c r="F168" s="10">
        <v>6.2893081761006293E-3</v>
      </c>
      <c r="G168" s="10" t="s">
        <v>100</v>
      </c>
      <c r="H168" s="10" t="s">
        <v>1261</v>
      </c>
    </row>
    <row r="169" spans="1:8" x14ac:dyDescent="0.2">
      <c r="A169" s="10" t="s">
        <v>713</v>
      </c>
      <c r="B169" s="10" t="s">
        <v>712</v>
      </c>
      <c r="C169" s="10" t="s">
        <v>265</v>
      </c>
      <c r="D169" s="10" t="s">
        <v>1183</v>
      </c>
      <c r="E169" s="10">
        <v>1</v>
      </c>
      <c r="F169" s="10">
        <v>6.2893081761006293E-3</v>
      </c>
      <c r="G169" s="10" t="s">
        <v>100</v>
      </c>
      <c r="H169" s="10" t="s">
        <v>1261</v>
      </c>
    </row>
    <row r="170" spans="1:8" x14ac:dyDescent="0.2">
      <c r="A170" s="10" t="s">
        <v>715</v>
      </c>
      <c r="B170" s="10" t="s">
        <v>714</v>
      </c>
      <c r="C170" s="10" t="s">
        <v>983</v>
      </c>
      <c r="D170" s="10" t="s">
        <v>1184</v>
      </c>
      <c r="E170" s="10">
        <v>1</v>
      </c>
      <c r="F170" s="10">
        <v>6.2893081761006293E-3</v>
      </c>
      <c r="G170" s="10" t="s">
        <v>100</v>
      </c>
      <c r="H170" s="10" t="s">
        <v>1261</v>
      </c>
    </row>
    <row r="171" spans="1:8" x14ac:dyDescent="0.2">
      <c r="A171" s="10" t="s">
        <v>717</v>
      </c>
      <c r="B171" s="10" t="s">
        <v>716</v>
      </c>
      <c r="C171" s="10" t="s">
        <v>877</v>
      </c>
      <c r="D171" s="10" t="s">
        <v>1185</v>
      </c>
      <c r="E171" s="10">
        <v>1</v>
      </c>
      <c r="F171" s="10">
        <v>6.2893081761006293E-3</v>
      </c>
      <c r="G171" s="10" t="s">
        <v>100</v>
      </c>
      <c r="H171" s="10" t="s">
        <v>1261</v>
      </c>
    </row>
    <row r="172" spans="1:8" x14ac:dyDescent="0.2">
      <c r="A172" s="10" t="s">
        <v>719</v>
      </c>
      <c r="B172" s="10" t="s">
        <v>718</v>
      </c>
      <c r="C172" s="10" t="s">
        <v>984</v>
      </c>
      <c r="D172" s="10" t="s">
        <v>1186</v>
      </c>
      <c r="E172" s="10">
        <v>1</v>
      </c>
      <c r="F172" s="10">
        <v>6.2893081761006293E-3</v>
      </c>
      <c r="G172" s="10" t="s">
        <v>100</v>
      </c>
      <c r="H172" s="10" t="s">
        <v>1261</v>
      </c>
    </row>
    <row r="173" spans="1:8" x14ac:dyDescent="0.2">
      <c r="A173" s="10" t="s">
        <v>721</v>
      </c>
      <c r="B173" s="10" t="s">
        <v>720</v>
      </c>
      <c r="C173" s="10" t="s">
        <v>985</v>
      </c>
      <c r="E173" s="10">
        <v>1</v>
      </c>
      <c r="F173" s="10">
        <v>6.2893081761006293E-3</v>
      </c>
      <c r="G173" s="10" t="s">
        <v>100</v>
      </c>
      <c r="H173" s="10" t="s">
        <v>1261</v>
      </c>
    </row>
    <row r="174" spans="1:8" x14ac:dyDescent="0.2">
      <c r="A174" s="10" t="s">
        <v>722</v>
      </c>
      <c r="B174" s="10" t="s">
        <v>11</v>
      </c>
      <c r="C174" s="10" t="s">
        <v>986</v>
      </c>
      <c r="D174" s="10" t="s">
        <v>1187</v>
      </c>
      <c r="E174" s="10">
        <v>1</v>
      </c>
      <c r="F174" s="10">
        <v>6.2893081761006293E-3</v>
      </c>
      <c r="G174" s="10" t="s">
        <v>100</v>
      </c>
      <c r="H174" s="10" t="s">
        <v>1261</v>
      </c>
    </row>
    <row r="175" spans="1:8" x14ac:dyDescent="0.2">
      <c r="A175" s="10" t="s">
        <v>724</v>
      </c>
      <c r="B175" s="10" t="s">
        <v>723</v>
      </c>
      <c r="C175" s="10" t="s">
        <v>987</v>
      </c>
      <c r="D175" s="10" t="s">
        <v>1188</v>
      </c>
      <c r="E175" s="10">
        <v>1</v>
      </c>
      <c r="F175" s="10">
        <v>6.2893081761006293E-3</v>
      </c>
      <c r="G175" s="10" t="s">
        <v>100</v>
      </c>
      <c r="H175" s="10" t="s">
        <v>1261</v>
      </c>
    </row>
    <row r="176" spans="1:8" x14ac:dyDescent="0.2">
      <c r="A176" s="10" t="s">
        <v>726</v>
      </c>
      <c r="B176" s="10" t="s">
        <v>725</v>
      </c>
      <c r="C176" s="10" t="s">
        <v>312</v>
      </c>
      <c r="D176" s="10" t="s">
        <v>439</v>
      </c>
      <c r="E176" s="10">
        <v>1</v>
      </c>
      <c r="F176" s="10">
        <v>6.2893081761006293E-3</v>
      </c>
      <c r="G176" s="10" t="s">
        <v>100</v>
      </c>
      <c r="H176" s="10" t="s">
        <v>1261</v>
      </c>
    </row>
    <row r="177" spans="1:8" x14ac:dyDescent="0.2">
      <c r="A177" s="10" t="s">
        <v>728</v>
      </c>
      <c r="B177" s="10" t="s">
        <v>727</v>
      </c>
      <c r="C177" s="10" t="s">
        <v>988</v>
      </c>
      <c r="D177" s="10" t="s">
        <v>1189</v>
      </c>
      <c r="E177" s="10">
        <v>1</v>
      </c>
      <c r="F177" s="10">
        <v>6.2893081761006293E-3</v>
      </c>
      <c r="G177" s="10" t="s">
        <v>100</v>
      </c>
      <c r="H177" s="10" t="s">
        <v>1261</v>
      </c>
    </row>
    <row r="178" spans="1:8" x14ac:dyDescent="0.2">
      <c r="A178" s="10" t="s">
        <v>730</v>
      </c>
      <c r="B178" s="10" t="s">
        <v>729</v>
      </c>
      <c r="C178" s="10" t="s">
        <v>989</v>
      </c>
      <c r="D178" s="10" t="s">
        <v>1190</v>
      </c>
      <c r="E178" s="10">
        <v>1</v>
      </c>
      <c r="F178" s="10">
        <v>6.2893081761006293E-3</v>
      </c>
      <c r="G178" s="10" t="s">
        <v>100</v>
      </c>
      <c r="H178" s="10" t="s">
        <v>1261</v>
      </c>
    </row>
    <row r="179" spans="1:8" x14ac:dyDescent="0.2">
      <c r="A179" s="10" t="s">
        <v>604</v>
      </c>
      <c r="B179" s="10" t="s">
        <v>731</v>
      </c>
      <c r="C179" s="10" t="s">
        <v>990</v>
      </c>
      <c r="D179" s="10" t="s">
        <v>1191</v>
      </c>
      <c r="E179" s="10">
        <v>1</v>
      </c>
      <c r="F179" s="10">
        <v>6.2893081761006293E-3</v>
      </c>
      <c r="G179" s="10" t="s">
        <v>100</v>
      </c>
      <c r="H179" s="10" t="s">
        <v>1261</v>
      </c>
    </row>
    <row r="180" spans="1:8" x14ac:dyDescent="0.2">
      <c r="A180" s="10" t="s">
        <v>733</v>
      </c>
      <c r="B180" s="10" t="s">
        <v>732</v>
      </c>
      <c r="C180" s="10" t="s">
        <v>991</v>
      </c>
      <c r="D180" s="10" t="s">
        <v>1192</v>
      </c>
      <c r="E180" s="10">
        <v>1</v>
      </c>
      <c r="F180" s="10">
        <v>6.2893081761006293E-3</v>
      </c>
      <c r="G180" s="10" t="s">
        <v>100</v>
      </c>
      <c r="H180" s="10" t="s">
        <v>1261</v>
      </c>
    </row>
    <row r="181" spans="1:8" x14ac:dyDescent="0.2">
      <c r="A181" s="10" t="s">
        <v>735</v>
      </c>
      <c r="B181" s="10" t="s">
        <v>734</v>
      </c>
      <c r="C181" s="10" t="s">
        <v>992</v>
      </c>
      <c r="E181" s="10">
        <v>1</v>
      </c>
      <c r="F181" s="10">
        <v>6.2893081761006293E-3</v>
      </c>
      <c r="G181" s="10" t="s">
        <v>100</v>
      </c>
      <c r="H181" s="10" t="s">
        <v>1261</v>
      </c>
    </row>
    <row r="182" spans="1:8" x14ac:dyDescent="0.2">
      <c r="A182" s="10" t="s">
        <v>736</v>
      </c>
      <c r="B182" s="10" t="s">
        <v>734</v>
      </c>
      <c r="C182" s="10" t="s">
        <v>993</v>
      </c>
      <c r="E182" s="10">
        <v>1</v>
      </c>
      <c r="F182" s="10">
        <v>6.2893081761006293E-3</v>
      </c>
      <c r="G182" s="10" t="s">
        <v>100</v>
      </c>
      <c r="H182" s="10" t="s">
        <v>1261</v>
      </c>
    </row>
    <row r="183" spans="1:8" x14ac:dyDescent="0.2">
      <c r="A183" s="10" t="s">
        <v>738</v>
      </c>
      <c r="B183" s="10" t="s">
        <v>737</v>
      </c>
      <c r="C183" s="10" t="s">
        <v>994</v>
      </c>
      <c r="D183" s="10" t="s">
        <v>1193</v>
      </c>
      <c r="E183" s="10">
        <v>1</v>
      </c>
      <c r="F183" s="10">
        <v>6.2893081761006293E-3</v>
      </c>
      <c r="G183" s="10" t="s">
        <v>100</v>
      </c>
      <c r="H183" s="10" t="s">
        <v>1261</v>
      </c>
    </row>
    <row r="184" spans="1:8" x14ac:dyDescent="0.2">
      <c r="A184" s="10" t="s">
        <v>740</v>
      </c>
      <c r="B184" s="10" t="s">
        <v>739</v>
      </c>
      <c r="C184" s="10" t="s">
        <v>995</v>
      </c>
      <c r="D184" s="10" t="s">
        <v>1194</v>
      </c>
      <c r="E184" s="10">
        <v>1</v>
      </c>
      <c r="F184" s="10">
        <v>6.2893081761006293E-3</v>
      </c>
      <c r="G184" s="10" t="s">
        <v>100</v>
      </c>
      <c r="H184" s="10" t="s">
        <v>1261</v>
      </c>
    </row>
    <row r="185" spans="1:8" x14ac:dyDescent="0.2">
      <c r="A185" s="10" t="s">
        <v>742</v>
      </c>
      <c r="B185" s="10" t="s">
        <v>741</v>
      </c>
      <c r="C185" s="10" t="s">
        <v>1254</v>
      </c>
      <c r="D185" s="10" t="s">
        <v>1253</v>
      </c>
      <c r="E185" s="10">
        <v>1</v>
      </c>
      <c r="F185" s="10">
        <v>6.2893081761006293E-3</v>
      </c>
      <c r="G185" s="10" t="s">
        <v>100</v>
      </c>
      <c r="H185" s="10" t="s">
        <v>1261</v>
      </c>
    </row>
    <row r="186" spans="1:8" x14ac:dyDescent="0.2">
      <c r="A186" s="10" t="s">
        <v>743</v>
      </c>
      <c r="B186" s="10" t="s">
        <v>362</v>
      </c>
      <c r="C186" s="10" t="s">
        <v>364</v>
      </c>
      <c r="D186" s="10" t="s">
        <v>462</v>
      </c>
      <c r="E186" s="10">
        <v>2</v>
      </c>
      <c r="F186" s="10">
        <v>1.2578616352201259E-2</v>
      </c>
      <c r="G186" s="10" t="s">
        <v>100</v>
      </c>
      <c r="H186" s="10" t="s">
        <v>1261</v>
      </c>
    </row>
    <row r="187" spans="1:8" x14ac:dyDescent="0.2">
      <c r="A187" s="10" t="s">
        <v>745</v>
      </c>
      <c r="B187" s="10" t="s">
        <v>744</v>
      </c>
      <c r="C187" s="10" t="s">
        <v>996</v>
      </c>
      <c r="E187" s="10">
        <v>1</v>
      </c>
      <c r="F187" s="10">
        <v>6.2893081761006293E-3</v>
      </c>
      <c r="G187" s="10" t="s">
        <v>100</v>
      </c>
      <c r="H187" s="10" t="s">
        <v>1261</v>
      </c>
    </row>
    <row r="188" spans="1:8" x14ac:dyDescent="0.2">
      <c r="A188" s="10" t="s">
        <v>747</v>
      </c>
      <c r="B188" s="10" t="s">
        <v>746</v>
      </c>
      <c r="C188" s="10" t="s">
        <v>997</v>
      </c>
      <c r="E188" s="10">
        <v>1</v>
      </c>
      <c r="F188" s="10">
        <v>6.2893081761006293E-3</v>
      </c>
      <c r="G188" s="10" t="s">
        <v>100</v>
      </c>
      <c r="H188" s="10" t="s">
        <v>1261</v>
      </c>
    </row>
    <row r="189" spans="1:8" x14ac:dyDescent="0.2">
      <c r="A189" s="10" t="s">
        <v>748</v>
      </c>
      <c r="B189" s="10" t="s">
        <v>347</v>
      </c>
      <c r="C189" s="10" t="s">
        <v>998</v>
      </c>
      <c r="D189" s="10" t="s">
        <v>1195</v>
      </c>
      <c r="E189" s="10">
        <v>2</v>
      </c>
      <c r="F189" s="10">
        <v>1.2578616352201259E-2</v>
      </c>
      <c r="G189" s="10" t="s">
        <v>100</v>
      </c>
      <c r="H189" s="10" t="s">
        <v>1261</v>
      </c>
    </row>
    <row r="190" spans="1:8" x14ac:dyDescent="0.2">
      <c r="A190" s="10" t="s">
        <v>749</v>
      </c>
      <c r="B190" s="10" t="s">
        <v>347</v>
      </c>
      <c r="C190" s="10" t="s">
        <v>999</v>
      </c>
      <c r="D190" s="10" t="s">
        <v>1196</v>
      </c>
      <c r="E190" s="10">
        <v>1</v>
      </c>
      <c r="F190" s="10">
        <v>6.2893081761006293E-3</v>
      </c>
      <c r="G190" s="10" t="s">
        <v>100</v>
      </c>
      <c r="H190" s="10" t="s">
        <v>1261</v>
      </c>
    </row>
    <row r="191" spans="1:8" x14ac:dyDescent="0.2">
      <c r="A191" s="10" t="s">
        <v>751</v>
      </c>
      <c r="B191" s="10" t="s">
        <v>750</v>
      </c>
      <c r="C191" s="10" t="s">
        <v>1000</v>
      </c>
      <c r="D191" s="10" t="s">
        <v>1197</v>
      </c>
      <c r="E191" s="10">
        <v>1</v>
      </c>
      <c r="F191" s="10">
        <v>6.2893081761006293E-3</v>
      </c>
      <c r="G191" s="10" t="s">
        <v>100</v>
      </c>
      <c r="H191" s="10" t="s">
        <v>1261</v>
      </c>
    </row>
    <row r="192" spans="1:8" x14ac:dyDescent="0.2">
      <c r="A192" s="10" t="s">
        <v>753</v>
      </c>
      <c r="B192" s="10" t="s">
        <v>752</v>
      </c>
      <c r="C192" s="10" t="s">
        <v>1001</v>
      </c>
      <c r="D192" s="10" t="s">
        <v>1198</v>
      </c>
      <c r="E192" s="10">
        <v>1</v>
      </c>
      <c r="F192" s="10">
        <v>6.2893081761006293E-3</v>
      </c>
      <c r="G192" s="10" t="s">
        <v>100</v>
      </c>
      <c r="H192" s="10" t="s">
        <v>1261</v>
      </c>
    </row>
    <row r="193" spans="1:8" x14ac:dyDescent="0.2">
      <c r="A193" s="10" t="s">
        <v>755</v>
      </c>
      <c r="B193" s="10" t="s">
        <v>754</v>
      </c>
      <c r="C193" s="10" t="s">
        <v>1260</v>
      </c>
      <c r="D193" s="10" t="s">
        <v>1259</v>
      </c>
      <c r="E193" s="10">
        <v>1</v>
      </c>
      <c r="F193" s="10">
        <v>6.2893081761006293E-3</v>
      </c>
      <c r="G193" s="10" t="s">
        <v>100</v>
      </c>
      <c r="H193" s="10" t="s">
        <v>1261</v>
      </c>
    </row>
    <row r="194" spans="1:8" x14ac:dyDescent="0.2">
      <c r="A194" s="10" t="s">
        <v>757</v>
      </c>
      <c r="B194" s="10" t="s">
        <v>756</v>
      </c>
      <c r="C194" s="10" t="s">
        <v>1002</v>
      </c>
      <c r="D194" s="10" t="s">
        <v>1199</v>
      </c>
      <c r="E194" s="10">
        <v>1</v>
      </c>
      <c r="F194" s="10">
        <v>6.2893081761006293E-3</v>
      </c>
      <c r="G194" s="10" t="s">
        <v>100</v>
      </c>
      <c r="H194" s="10" t="s">
        <v>1261</v>
      </c>
    </row>
    <row r="195" spans="1:8" x14ac:dyDescent="0.2">
      <c r="A195" s="10" t="s">
        <v>758</v>
      </c>
      <c r="B195" s="10" t="s">
        <v>266</v>
      </c>
      <c r="C195" s="10" t="s">
        <v>269</v>
      </c>
      <c r="E195" s="10">
        <v>8</v>
      </c>
      <c r="F195" s="10">
        <v>5.0314465408805034E-2</v>
      </c>
      <c r="G195" s="10" t="s">
        <v>100</v>
      </c>
      <c r="H195" s="10" t="s">
        <v>1261</v>
      </c>
    </row>
    <row r="196" spans="1:8" x14ac:dyDescent="0.2">
      <c r="A196" s="10" t="s">
        <v>758</v>
      </c>
      <c r="B196" s="10" t="s">
        <v>266</v>
      </c>
      <c r="C196" s="10" t="s">
        <v>1003</v>
      </c>
      <c r="E196" s="10">
        <v>3</v>
      </c>
      <c r="F196" s="10">
        <v>1.8867924528301886E-2</v>
      </c>
      <c r="G196" s="10" t="s">
        <v>100</v>
      </c>
      <c r="H196" s="10" t="s">
        <v>1261</v>
      </c>
    </row>
    <row r="197" spans="1:8" x14ac:dyDescent="0.2">
      <c r="A197" s="10" t="s">
        <v>760</v>
      </c>
      <c r="B197" s="10" t="s">
        <v>759</v>
      </c>
      <c r="C197" s="10" t="s">
        <v>1004</v>
      </c>
      <c r="D197" s="10" t="s">
        <v>1200</v>
      </c>
      <c r="E197" s="10">
        <v>1</v>
      </c>
      <c r="F197" s="10">
        <v>6.2893081761006293E-3</v>
      </c>
      <c r="G197" s="10" t="s">
        <v>100</v>
      </c>
      <c r="H197" s="10" t="s">
        <v>1261</v>
      </c>
    </row>
    <row r="198" spans="1:8" x14ac:dyDescent="0.2">
      <c r="A198" s="10" t="s">
        <v>493</v>
      </c>
      <c r="B198" s="10" t="s">
        <v>761</v>
      </c>
      <c r="C198" s="10" t="s">
        <v>319</v>
      </c>
      <c r="D198" s="10" t="s">
        <v>440</v>
      </c>
      <c r="E198" s="10">
        <v>1</v>
      </c>
      <c r="F198" s="10">
        <v>6.2893081761006293E-3</v>
      </c>
      <c r="G198" s="10" t="s">
        <v>100</v>
      </c>
      <c r="H198" s="10" t="s">
        <v>1261</v>
      </c>
    </row>
    <row r="199" spans="1:8" x14ac:dyDescent="0.2">
      <c r="A199" s="10" t="s">
        <v>762</v>
      </c>
      <c r="B199" s="10" t="s">
        <v>264</v>
      </c>
      <c r="C199" s="10" t="s">
        <v>1005</v>
      </c>
      <c r="D199" s="10" t="s">
        <v>1201</v>
      </c>
      <c r="E199" s="10">
        <v>1</v>
      </c>
      <c r="F199" s="10">
        <v>6.2893081761006293E-3</v>
      </c>
      <c r="G199" s="10" t="s">
        <v>100</v>
      </c>
      <c r="H199" s="10" t="s">
        <v>1261</v>
      </c>
    </row>
    <row r="200" spans="1:8" x14ac:dyDescent="0.2">
      <c r="A200" s="10" t="s">
        <v>764</v>
      </c>
      <c r="B200" s="10" t="s">
        <v>763</v>
      </c>
      <c r="C200" s="10" t="s">
        <v>1006</v>
      </c>
      <c r="D200" s="10" t="s">
        <v>1202</v>
      </c>
      <c r="E200" s="10">
        <v>1</v>
      </c>
      <c r="F200" s="10">
        <v>6.2893081761006293E-3</v>
      </c>
      <c r="G200" s="10" t="s">
        <v>100</v>
      </c>
      <c r="H200" s="10" t="s">
        <v>1261</v>
      </c>
    </row>
    <row r="201" spans="1:8" x14ac:dyDescent="0.2">
      <c r="A201" s="10" t="s">
        <v>509</v>
      </c>
      <c r="B201" s="10" t="s">
        <v>765</v>
      </c>
      <c r="C201" s="10" t="s">
        <v>1007</v>
      </c>
      <c r="D201" s="10" t="s">
        <v>1203</v>
      </c>
      <c r="E201" s="10">
        <v>2</v>
      </c>
      <c r="F201" s="10">
        <v>1.2578616352201259E-2</v>
      </c>
      <c r="G201" s="10" t="s">
        <v>100</v>
      </c>
      <c r="H201" s="10" t="s">
        <v>1261</v>
      </c>
    </row>
    <row r="202" spans="1:8" x14ac:dyDescent="0.2">
      <c r="A202" s="10" t="s">
        <v>767</v>
      </c>
      <c r="B202" s="10" t="s">
        <v>766</v>
      </c>
      <c r="C202" s="10" t="s">
        <v>1008</v>
      </c>
      <c r="D202" s="10" t="s">
        <v>1204</v>
      </c>
      <c r="E202" s="10">
        <v>1</v>
      </c>
      <c r="F202" s="10">
        <v>6.2893081761006293E-3</v>
      </c>
      <c r="G202" s="10" t="s">
        <v>100</v>
      </c>
      <c r="H202" s="10" t="s">
        <v>1261</v>
      </c>
    </row>
    <row r="203" spans="1:8" x14ac:dyDescent="0.2">
      <c r="A203" s="10" t="s">
        <v>769</v>
      </c>
      <c r="B203" s="10" t="s">
        <v>768</v>
      </c>
      <c r="C203" s="10" t="s">
        <v>1009</v>
      </c>
      <c r="D203" s="10" t="s">
        <v>1205</v>
      </c>
      <c r="E203" s="10">
        <v>1</v>
      </c>
      <c r="F203" s="10">
        <v>6.2893081761006293E-3</v>
      </c>
      <c r="G203" s="10" t="s">
        <v>100</v>
      </c>
      <c r="H203" s="10" t="s">
        <v>1261</v>
      </c>
    </row>
    <row r="204" spans="1:8" x14ac:dyDescent="0.2">
      <c r="A204" s="10" t="s">
        <v>771</v>
      </c>
      <c r="B204" s="10" t="s">
        <v>770</v>
      </c>
      <c r="C204" s="10" t="s">
        <v>1010</v>
      </c>
      <c r="D204" s="10" t="s">
        <v>1206</v>
      </c>
      <c r="E204" s="10">
        <v>1</v>
      </c>
      <c r="F204" s="10">
        <v>6.2893081761006293E-3</v>
      </c>
      <c r="G204" s="10" t="s">
        <v>100</v>
      </c>
      <c r="H204" s="10" t="s">
        <v>1261</v>
      </c>
    </row>
    <row r="205" spans="1:8" x14ac:dyDescent="0.2">
      <c r="A205" s="10" t="s">
        <v>773</v>
      </c>
      <c r="B205" s="10" t="s">
        <v>772</v>
      </c>
      <c r="C205" s="10" t="s">
        <v>1011</v>
      </c>
      <c r="D205" s="10" t="s">
        <v>1207</v>
      </c>
      <c r="E205" s="10">
        <v>1</v>
      </c>
      <c r="F205" s="10">
        <v>6.2893081761006293E-3</v>
      </c>
      <c r="G205" s="10" t="s">
        <v>100</v>
      </c>
      <c r="H205" s="10" t="s">
        <v>1261</v>
      </c>
    </row>
    <row r="206" spans="1:8" x14ac:dyDescent="0.2">
      <c r="A206" s="10" t="s">
        <v>775</v>
      </c>
      <c r="B206" s="10" t="s">
        <v>774</v>
      </c>
      <c r="C206" s="10" t="s">
        <v>1012</v>
      </c>
      <c r="D206" s="10" t="s">
        <v>1208</v>
      </c>
      <c r="E206" s="10">
        <v>1</v>
      </c>
      <c r="F206" s="10">
        <v>6.2893081761006293E-3</v>
      </c>
      <c r="G206" s="10" t="s">
        <v>100</v>
      </c>
      <c r="H206" s="10" t="s">
        <v>1261</v>
      </c>
    </row>
    <row r="207" spans="1:8" x14ac:dyDescent="0.2">
      <c r="A207" s="10" t="s">
        <v>777</v>
      </c>
      <c r="B207" s="10" t="s">
        <v>776</v>
      </c>
      <c r="C207" s="10" t="s">
        <v>1013</v>
      </c>
      <c r="E207" s="10">
        <v>1</v>
      </c>
      <c r="F207" s="10">
        <v>6.2893081761006293E-3</v>
      </c>
      <c r="G207" s="10" t="s">
        <v>100</v>
      </c>
      <c r="H207" s="10" t="s">
        <v>1261</v>
      </c>
    </row>
    <row r="208" spans="1:8" x14ac:dyDescent="0.2">
      <c r="A208" s="10" t="s">
        <v>777</v>
      </c>
      <c r="B208" s="10" t="s">
        <v>776</v>
      </c>
      <c r="C208" s="10" t="s">
        <v>1014</v>
      </c>
      <c r="D208" s="10" t="s">
        <v>1209</v>
      </c>
      <c r="E208" s="10">
        <v>2</v>
      </c>
      <c r="F208" s="10">
        <v>1.2578616352201259E-2</v>
      </c>
      <c r="G208" s="10" t="s">
        <v>100</v>
      </c>
      <c r="H208" s="10" t="s">
        <v>1261</v>
      </c>
    </row>
    <row r="209" spans="1:8" x14ac:dyDescent="0.2">
      <c r="A209" s="10" t="s">
        <v>777</v>
      </c>
      <c r="B209" s="10" t="s">
        <v>776</v>
      </c>
      <c r="C209" s="10" t="s">
        <v>1015</v>
      </c>
      <c r="D209" s="10" t="s">
        <v>1210</v>
      </c>
      <c r="E209" s="10">
        <v>1</v>
      </c>
      <c r="F209" s="10">
        <v>6.2893081761006293E-3</v>
      </c>
      <c r="G209" s="10" t="s">
        <v>100</v>
      </c>
      <c r="H209" s="10" t="s">
        <v>1261</v>
      </c>
    </row>
    <row r="210" spans="1:8" x14ac:dyDescent="0.2">
      <c r="A210" s="10" t="s">
        <v>779</v>
      </c>
      <c r="B210" s="10" t="s">
        <v>778</v>
      </c>
      <c r="C210" s="10" t="s">
        <v>1016</v>
      </c>
      <c r="D210" s="10" t="s">
        <v>1211</v>
      </c>
      <c r="E210" s="10">
        <v>1</v>
      </c>
      <c r="F210" s="10">
        <v>6.2893081761006293E-3</v>
      </c>
      <c r="G210" s="10" t="s">
        <v>100</v>
      </c>
      <c r="H210" s="10" t="s">
        <v>1261</v>
      </c>
    </row>
    <row r="211" spans="1:8" x14ac:dyDescent="0.2">
      <c r="A211" s="10" t="s">
        <v>779</v>
      </c>
      <c r="B211" s="10" t="s">
        <v>778</v>
      </c>
      <c r="C211" s="10" t="s">
        <v>1017</v>
      </c>
      <c r="D211" s="10" t="s">
        <v>1212</v>
      </c>
      <c r="E211" s="10">
        <v>1</v>
      </c>
      <c r="F211" s="10">
        <v>6.2893081761006293E-3</v>
      </c>
      <c r="G211" s="10" t="s">
        <v>100</v>
      </c>
      <c r="H211" s="10" t="s">
        <v>1261</v>
      </c>
    </row>
    <row r="212" spans="1:8" x14ac:dyDescent="0.2">
      <c r="A212" s="10" t="s">
        <v>781</v>
      </c>
      <c r="B212" s="10" t="s">
        <v>780</v>
      </c>
      <c r="C212" s="10" t="s">
        <v>1018</v>
      </c>
      <c r="E212" s="10">
        <v>1</v>
      </c>
      <c r="F212" s="10">
        <v>6.2893081761006293E-3</v>
      </c>
      <c r="G212" s="10" t="s">
        <v>100</v>
      </c>
      <c r="H212" s="10" t="s">
        <v>1261</v>
      </c>
    </row>
    <row r="213" spans="1:8" x14ac:dyDescent="0.2">
      <c r="A213" s="10" t="s">
        <v>783</v>
      </c>
      <c r="B213" s="10" t="s">
        <v>782</v>
      </c>
      <c r="C213" s="10" t="s">
        <v>1019</v>
      </c>
      <c r="D213" s="10" t="s">
        <v>1213</v>
      </c>
      <c r="E213" s="10">
        <v>1</v>
      </c>
      <c r="F213" s="10">
        <v>6.2893081761006293E-3</v>
      </c>
      <c r="G213" s="10" t="s">
        <v>100</v>
      </c>
      <c r="H213" s="10" t="s">
        <v>1261</v>
      </c>
    </row>
    <row r="214" spans="1:8" x14ac:dyDescent="0.2">
      <c r="A214" s="10" t="s">
        <v>784</v>
      </c>
      <c r="B214" s="10" t="s">
        <v>257</v>
      </c>
      <c r="C214" s="10" t="s">
        <v>1020</v>
      </c>
      <c r="D214" s="10" t="s">
        <v>1214</v>
      </c>
      <c r="E214" s="10">
        <v>1</v>
      </c>
      <c r="F214" s="10">
        <v>6.2893081761006293E-3</v>
      </c>
      <c r="G214" s="10" t="s">
        <v>100</v>
      </c>
      <c r="H214" s="10" t="s">
        <v>1261</v>
      </c>
    </row>
    <row r="215" spans="1:8" x14ac:dyDescent="0.2">
      <c r="A215" s="10" t="s">
        <v>616</v>
      </c>
      <c r="B215" s="10" t="s">
        <v>44</v>
      </c>
      <c r="C215" s="10" t="s">
        <v>1258</v>
      </c>
      <c r="D215" s="10" t="s">
        <v>1257</v>
      </c>
      <c r="E215" s="10">
        <v>1</v>
      </c>
      <c r="F215" s="10">
        <v>6.2893081761006293E-3</v>
      </c>
      <c r="G215" s="10" t="s">
        <v>100</v>
      </c>
      <c r="H215" s="10" t="s">
        <v>1261</v>
      </c>
    </row>
    <row r="216" spans="1:8" x14ac:dyDescent="0.2">
      <c r="A216" s="10" t="s">
        <v>786</v>
      </c>
      <c r="B216" s="10" t="s">
        <v>785</v>
      </c>
      <c r="C216" s="10" t="s">
        <v>1021</v>
      </c>
      <c r="D216" s="10" t="s">
        <v>1215</v>
      </c>
      <c r="E216" s="10">
        <v>1</v>
      </c>
      <c r="F216" s="10">
        <v>6.2893081761006293E-3</v>
      </c>
      <c r="G216" s="10" t="s">
        <v>100</v>
      </c>
      <c r="H216" s="10" t="s">
        <v>1261</v>
      </c>
    </row>
    <row r="217" spans="1:8" x14ac:dyDescent="0.2">
      <c r="A217" s="10" t="s">
        <v>786</v>
      </c>
      <c r="B217" s="10" t="s">
        <v>785</v>
      </c>
      <c r="C217" s="10" t="s">
        <v>1022</v>
      </c>
      <c r="D217" s="10" t="s">
        <v>1216</v>
      </c>
      <c r="E217" s="10">
        <v>1</v>
      </c>
      <c r="F217" s="10">
        <v>6.2893081761006293E-3</v>
      </c>
      <c r="G217" s="10" t="s">
        <v>100</v>
      </c>
      <c r="H217" s="10" t="s">
        <v>1261</v>
      </c>
    </row>
    <row r="218" spans="1:8" x14ac:dyDescent="0.2">
      <c r="A218" s="10" t="s">
        <v>788</v>
      </c>
      <c r="B218" s="10" t="s">
        <v>787</v>
      </c>
      <c r="C218" s="10" t="s">
        <v>1023</v>
      </c>
      <c r="E218" s="10">
        <v>1</v>
      </c>
      <c r="F218" s="10">
        <v>6.2893081761006293E-3</v>
      </c>
      <c r="G218" s="10" t="s">
        <v>100</v>
      </c>
      <c r="H218" s="10" t="s">
        <v>1261</v>
      </c>
    </row>
    <row r="219" spans="1:8" x14ac:dyDescent="0.2">
      <c r="A219" s="10" t="s">
        <v>786</v>
      </c>
      <c r="B219" s="10" t="s">
        <v>350</v>
      </c>
      <c r="C219" s="10" t="s">
        <v>352</v>
      </c>
      <c r="D219" s="10" t="s">
        <v>457</v>
      </c>
      <c r="E219" s="10">
        <v>1</v>
      </c>
      <c r="F219" s="10">
        <v>6.2893081761006293E-3</v>
      </c>
      <c r="G219" s="10" t="s">
        <v>100</v>
      </c>
      <c r="H219" s="10" t="s">
        <v>1261</v>
      </c>
    </row>
    <row r="220" spans="1:8" x14ac:dyDescent="0.2">
      <c r="A220" s="10" t="s">
        <v>790</v>
      </c>
      <c r="B220" s="10" t="s">
        <v>789</v>
      </c>
      <c r="C220" s="10" t="s">
        <v>1024</v>
      </c>
      <c r="D220" s="10" t="s">
        <v>1217</v>
      </c>
      <c r="E220" s="10">
        <v>1</v>
      </c>
      <c r="F220" s="10">
        <v>6.2893081761006293E-3</v>
      </c>
      <c r="G220" s="10" t="s">
        <v>100</v>
      </c>
      <c r="H220" s="10" t="s">
        <v>1261</v>
      </c>
    </row>
    <row r="221" spans="1:8" x14ac:dyDescent="0.2">
      <c r="A221" s="10" t="s">
        <v>792</v>
      </c>
      <c r="B221" s="10" t="s">
        <v>791</v>
      </c>
      <c r="C221" s="10" t="s">
        <v>1025</v>
      </c>
      <c r="D221" s="10" t="s">
        <v>1218</v>
      </c>
      <c r="E221" s="10">
        <v>1</v>
      </c>
      <c r="F221" s="10">
        <v>6.2893081761006293E-3</v>
      </c>
      <c r="G221" s="10" t="s">
        <v>100</v>
      </c>
      <c r="H221" s="10" t="s">
        <v>1261</v>
      </c>
    </row>
    <row r="222" spans="1:8" x14ac:dyDescent="0.2">
      <c r="A222" s="10" t="s">
        <v>792</v>
      </c>
      <c r="B222" s="10" t="s">
        <v>793</v>
      </c>
      <c r="C222" s="10" t="s">
        <v>1026</v>
      </c>
      <c r="D222" s="10" t="s">
        <v>1219</v>
      </c>
      <c r="E222" s="10">
        <v>1</v>
      </c>
      <c r="F222" s="10">
        <v>6.2893081761006293E-3</v>
      </c>
      <c r="G222" s="10" t="s">
        <v>100</v>
      </c>
      <c r="H222" s="10" t="s">
        <v>1261</v>
      </c>
    </row>
    <row r="223" spans="1:8" x14ac:dyDescent="0.2">
      <c r="A223" s="10" t="s">
        <v>792</v>
      </c>
      <c r="B223" s="10" t="s">
        <v>793</v>
      </c>
      <c r="C223" s="10" t="s">
        <v>1027</v>
      </c>
      <c r="D223" s="10" t="s">
        <v>1220</v>
      </c>
      <c r="E223" s="10">
        <v>1</v>
      </c>
      <c r="F223" s="10">
        <v>6.2893081761006293E-3</v>
      </c>
      <c r="G223" s="10" t="s">
        <v>100</v>
      </c>
      <c r="H223" s="10" t="s">
        <v>1261</v>
      </c>
    </row>
    <row r="224" spans="1:8" x14ac:dyDescent="0.2">
      <c r="A224" s="10" t="s">
        <v>795</v>
      </c>
      <c r="B224" s="10" t="s">
        <v>794</v>
      </c>
      <c r="C224" s="10" t="s">
        <v>1028</v>
      </c>
      <c r="D224" s="10" t="s">
        <v>1221</v>
      </c>
      <c r="E224" s="10">
        <v>1</v>
      </c>
      <c r="F224" s="10">
        <v>6.2893081761006293E-3</v>
      </c>
      <c r="G224" s="10" t="s">
        <v>100</v>
      </c>
      <c r="H224" s="10" t="s">
        <v>1261</v>
      </c>
    </row>
    <row r="225" spans="1:8" x14ac:dyDescent="0.2">
      <c r="A225" s="10" t="s">
        <v>673</v>
      </c>
      <c r="B225" s="10" t="s">
        <v>796</v>
      </c>
      <c r="C225" s="10" t="s">
        <v>1029</v>
      </c>
      <c r="D225" s="10" t="s">
        <v>1222</v>
      </c>
      <c r="E225" s="10">
        <v>1</v>
      </c>
      <c r="F225" s="10">
        <v>6.2893081761006293E-3</v>
      </c>
      <c r="G225" s="10" t="s">
        <v>100</v>
      </c>
      <c r="H225" s="10" t="s">
        <v>1261</v>
      </c>
    </row>
    <row r="226" spans="1:8" x14ac:dyDescent="0.2">
      <c r="A226" s="10" t="s">
        <v>798</v>
      </c>
      <c r="B226" s="10" t="s">
        <v>797</v>
      </c>
      <c r="C226" s="10" t="s">
        <v>1030</v>
      </c>
      <c r="D226" s="10" t="s">
        <v>1223</v>
      </c>
      <c r="E226" s="10">
        <v>1</v>
      </c>
      <c r="F226" s="10">
        <v>6.2893081761006293E-3</v>
      </c>
      <c r="G226" s="10" t="s">
        <v>100</v>
      </c>
      <c r="H226" s="10" t="s">
        <v>1261</v>
      </c>
    </row>
    <row r="227" spans="1:8" x14ac:dyDescent="0.2">
      <c r="A227" s="10" t="s">
        <v>800</v>
      </c>
      <c r="B227" s="10" t="s">
        <v>799</v>
      </c>
      <c r="C227" s="10" t="s">
        <v>1031</v>
      </c>
      <c r="D227" s="10" t="s">
        <v>1224</v>
      </c>
      <c r="E227" s="10">
        <v>1</v>
      </c>
      <c r="F227" s="10">
        <v>6.2893081761006293E-3</v>
      </c>
      <c r="G227" s="10" t="s">
        <v>100</v>
      </c>
      <c r="H227" s="10" t="s">
        <v>1261</v>
      </c>
    </row>
    <row r="228" spans="1:8" x14ac:dyDescent="0.2">
      <c r="A228" s="10" t="s">
        <v>764</v>
      </c>
      <c r="B228" s="10" t="s">
        <v>801</v>
      </c>
      <c r="C228" s="10" t="s">
        <v>1032</v>
      </c>
      <c r="D228" s="10" t="s">
        <v>1225</v>
      </c>
      <c r="E228" s="10">
        <v>1</v>
      </c>
      <c r="F228" s="10">
        <v>6.2893081761006293E-3</v>
      </c>
      <c r="G228" s="10" t="s">
        <v>100</v>
      </c>
      <c r="H228" s="10" t="s">
        <v>1261</v>
      </c>
    </row>
    <row r="229" spans="1:8" x14ac:dyDescent="0.2">
      <c r="A229" s="10" t="s">
        <v>803</v>
      </c>
      <c r="B229" s="10" t="s">
        <v>802</v>
      </c>
      <c r="C229" s="10" t="s">
        <v>1033</v>
      </c>
      <c r="D229" s="10" t="s">
        <v>1226</v>
      </c>
      <c r="E229" s="10">
        <v>1</v>
      </c>
      <c r="F229" s="10">
        <v>6.2893081761006293E-3</v>
      </c>
      <c r="G229" s="10" t="s">
        <v>100</v>
      </c>
      <c r="H229" s="10" t="s">
        <v>1261</v>
      </c>
    </row>
    <row r="230" spans="1:8" x14ac:dyDescent="0.2">
      <c r="A230" s="10" t="s">
        <v>686</v>
      </c>
      <c r="B230" s="10" t="s">
        <v>804</v>
      </c>
      <c r="C230" s="10" t="s">
        <v>285</v>
      </c>
      <c r="D230" s="10" t="s">
        <v>1227</v>
      </c>
      <c r="E230" s="10">
        <v>1</v>
      </c>
      <c r="F230" s="10">
        <v>6.2893081761006293E-3</v>
      </c>
      <c r="G230" s="10" t="s">
        <v>100</v>
      </c>
      <c r="H230" s="10" t="s">
        <v>1261</v>
      </c>
    </row>
    <row r="231" spans="1:8" x14ac:dyDescent="0.2">
      <c r="A231" s="10" t="s">
        <v>673</v>
      </c>
      <c r="B231" s="10" t="s">
        <v>805</v>
      </c>
      <c r="C231" s="10" t="s">
        <v>1034</v>
      </c>
      <c r="D231" s="10" t="s">
        <v>1228</v>
      </c>
      <c r="E231" s="10">
        <v>1</v>
      </c>
      <c r="F231" s="10">
        <v>6.2893081761006293E-3</v>
      </c>
      <c r="G231" s="10" t="s">
        <v>100</v>
      </c>
      <c r="H231" s="10" t="s">
        <v>1261</v>
      </c>
    </row>
    <row r="232" spans="1:8" x14ac:dyDescent="0.2">
      <c r="A232" s="10" t="s">
        <v>807</v>
      </c>
      <c r="B232" s="10" t="s">
        <v>806</v>
      </c>
      <c r="C232" s="10" t="s">
        <v>1035</v>
      </c>
      <c r="D232" s="10" t="s">
        <v>1229</v>
      </c>
      <c r="E232" s="10">
        <v>1</v>
      </c>
      <c r="F232" s="10">
        <v>6.2893081761006293E-3</v>
      </c>
      <c r="G232" s="10" t="s">
        <v>100</v>
      </c>
      <c r="H232" s="10" t="s">
        <v>1261</v>
      </c>
    </row>
    <row r="233" spans="1:8" x14ac:dyDescent="0.2">
      <c r="A233" s="10" t="s">
        <v>809</v>
      </c>
      <c r="B233" s="10" t="s">
        <v>808</v>
      </c>
      <c r="C233" s="10" t="s">
        <v>1036</v>
      </c>
      <c r="E233" s="10">
        <v>1</v>
      </c>
      <c r="F233" s="10">
        <v>6.2893081761006293E-3</v>
      </c>
      <c r="G233" s="10" t="s">
        <v>100</v>
      </c>
      <c r="H233" s="10" t="s">
        <v>1261</v>
      </c>
    </row>
    <row r="234" spans="1:8" x14ac:dyDescent="0.2">
      <c r="A234" s="10" t="s">
        <v>602</v>
      </c>
      <c r="B234" s="10" t="s">
        <v>810</v>
      </c>
      <c r="C234" s="10" t="s">
        <v>1037</v>
      </c>
      <c r="D234" s="10" t="s">
        <v>1230</v>
      </c>
      <c r="E234" s="10">
        <v>1</v>
      </c>
      <c r="F234" s="10">
        <v>6.2893081761006293E-3</v>
      </c>
      <c r="G234" s="10" t="s">
        <v>100</v>
      </c>
      <c r="H234" s="10" t="s">
        <v>1261</v>
      </c>
    </row>
    <row r="235" spans="1:8" x14ac:dyDescent="0.2">
      <c r="A235" s="10" t="s">
        <v>812</v>
      </c>
      <c r="B235" s="10" t="s">
        <v>811</v>
      </c>
      <c r="C235" s="10" t="s">
        <v>1038</v>
      </c>
      <c r="D235" s="10" t="s">
        <v>1231</v>
      </c>
      <c r="E235" s="10">
        <v>1</v>
      </c>
      <c r="F235" s="10">
        <v>6.2893081761006293E-3</v>
      </c>
      <c r="G235" s="10" t="s">
        <v>100</v>
      </c>
      <c r="H235" s="10" t="s">
        <v>1261</v>
      </c>
    </row>
    <row r="236" spans="1:8" x14ac:dyDescent="0.2">
      <c r="A236" s="10" t="s">
        <v>814</v>
      </c>
      <c r="B236" s="10" t="s">
        <v>813</v>
      </c>
      <c r="C236" s="10" t="s">
        <v>1039</v>
      </c>
      <c r="D236" s="10" t="s">
        <v>1232</v>
      </c>
      <c r="E236" s="10">
        <v>1</v>
      </c>
      <c r="F236" s="10">
        <v>6.2893081761006293E-3</v>
      </c>
      <c r="G236" s="10" t="s">
        <v>100</v>
      </c>
      <c r="H236" s="10" t="s">
        <v>1261</v>
      </c>
    </row>
    <row r="237" spans="1:8" x14ac:dyDescent="0.2">
      <c r="A237" s="10" t="s">
        <v>814</v>
      </c>
      <c r="B237" s="10" t="s">
        <v>813</v>
      </c>
      <c r="C237" s="10" t="s">
        <v>1040</v>
      </c>
      <c r="D237" s="10" t="s">
        <v>1233</v>
      </c>
      <c r="E237" s="10">
        <v>1</v>
      </c>
      <c r="F237" s="10">
        <v>6.2893081761006293E-3</v>
      </c>
      <c r="G237" s="10" t="s">
        <v>100</v>
      </c>
      <c r="H237" s="10" t="s">
        <v>1261</v>
      </c>
    </row>
    <row r="238" spans="1:8" x14ac:dyDescent="0.2">
      <c r="A238" s="10" t="s">
        <v>814</v>
      </c>
      <c r="B238" s="10" t="s">
        <v>813</v>
      </c>
      <c r="C238" s="10" t="s">
        <v>92</v>
      </c>
      <c r="D238" s="10" t="s">
        <v>1234</v>
      </c>
      <c r="E238" s="10">
        <v>1</v>
      </c>
      <c r="F238" s="10">
        <v>6.2893081761006293E-3</v>
      </c>
      <c r="G238" s="10" t="s">
        <v>100</v>
      </c>
      <c r="H238" s="10" t="s">
        <v>1261</v>
      </c>
    </row>
    <row r="239" spans="1:8" x14ac:dyDescent="0.2">
      <c r="A239" s="10" t="s">
        <v>816</v>
      </c>
      <c r="B239" s="10" t="s">
        <v>815</v>
      </c>
      <c r="C239" s="10" t="s">
        <v>1041</v>
      </c>
      <c r="D239" s="10" t="s">
        <v>1235</v>
      </c>
      <c r="E239" s="10">
        <v>1</v>
      </c>
      <c r="F239" s="10">
        <v>6.2893081761006293E-3</v>
      </c>
      <c r="G239" s="10" t="s">
        <v>100</v>
      </c>
      <c r="H239" s="10" t="s">
        <v>1261</v>
      </c>
    </row>
    <row r="240" spans="1:8" x14ac:dyDescent="0.2">
      <c r="A240" s="10" t="s">
        <v>818</v>
      </c>
      <c r="B240" s="10" t="s">
        <v>817</v>
      </c>
      <c r="C240" s="10" t="s">
        <v>1042</v>
      </c>
      <c r="E240" s="10">
        <v>1</v>
      </c>
      <c r="F240" s="10">
        <v>6.2893081761006293E-3</v>
      </c>
      <c r="G240" s="10" t="s">
        <v>100</v>
      </c>
      <c r="H240" s="10" t="s">
        <v>1261</v>
      </c>
    </row>
    <row r="241" spans="1:8" x14ac:dyDescent="0.2">
      <c r="A241" s="10" t="s">
        <v>819</v>
      </c>
      <c r="B241" s="10" t="s">
        <v>274</v>
      </c>
      <c r="C241" s="10" t="s">
        <v>276</v>
      </c>
      <c r="D241" s="10" t="s">
        <v>431</v>
      </c>
      <c r="E241" s="10">
        <v>2</v>
      </c>
      <c r="F241" s="10">
        <v>1.2578616352201259E-2</v>
      </c>
      <c r="G241" s="10" t="s">
        <v>100</v>
      </c>
      <c r="H241" s="10" t="s">
        <v>1261</v>
      </c>
    </row>
    <row r="242" spans="1:8" x14ac:dyDescent="0.2">
      <c r="A242" s="10" t="s">
        <v>819</v>
      </c>
      <c r="B242" s="10" t="s">
        <v>274</v>
      </c>
      <c r="C242" s="10" t="s">
        <v>1043</v>
      </c>
      <c r="E242" s="10">
        <v>1</v>
      </c>
      <c r="F242" s="10">
        <v>6.2893081761006293E-3</v>
      </c>
      <c r="G242" s="10" t="s">
        <v>100</v>
      </c>
      <c r="H242" s="10" t="s">
        <v>1261</v>
      </c>
    </row>
    <row r="243" spans="1:8" x14ac:dyDescent="0.2">
      <c r="A243" s="10" t="s">
        <v>819</v>
      </c>
      <c r="B243" s="10" t="s">
        <v>274</v>
      </c>
      <c r="C243" s="10" t="s">
        <v>1044</v>
      </c>
      <c r="D243" s="10" t="s">
        <v>1236</v>
      </c>
      <c r="E243" s="10">
        <v>1</v>
      </c>
      <c r="F243" s="10">
        <v>6.2893081761006293E-3</v>
      </c>
      <c r="G243" s="10" t="s">
        <v>100</v>
      </c>
      <c r="H243" s="10" t="s">
        <v>1261</v>
      </c>
    </row>
    <row r="244" spans="1:8" x14ac:dyDescent="0.2">
      <c r="A244" s="10" t="s">
        <v>819</v>
      </c>
      <c r="B244" s="10" t="s">
        <v>274</v>
      </c>
      <c r="C244" s="10" t="s">
        <v>1045</v>
      </c>
      <c r="D244" s="10" t="s">
        <v>1237</v>
      </c>
      <c r="E244" s="10">
        <v>1</v>
      </c>
      <c r="F244" s="10">
        <v>6.2893081761006293E-3</v>
      </c>
      <c r="G244" s="10" t="s">
        <v>100</v>
      </c>
      <c r="H244" s="10" t="s">
        <v>1261</v>
      </c>
    </row>
    <row r="245" spans="1:8" x14ac:dyDescent="0.2">
      <c r="A245" s="10" t="s">
        <v>821</v>
      </c>
      <c r="B245" s="10" t="s">
        <v>820</v>
      </c>
      <c r="C245" s="10" t="s">
        <v>1046</v>
      </c>
      <c r="D245" s="10" t="s">
        <v>1238</v>
      </c>
      <c r="E245" s="10">
        <v>1</v>
      </c>
      <c r="F245" s="10">
        <v>6.2893081761006293E-3</v>
      </c>
      <c r="G245" s="10" t="s">
        <v>100</v>
      </c>
      <c r="H245" s="10" t="s">
        <v>1261</v>
      </c>
    </row>
    <row r="246" spans="1:8" x14ac:dyDescent="0.2">
      <c r="A246" s="10" t="s">
        <v>823</v>
      </c>
      <c r="B246" s="10" t="s">
        <v>822</v>
      </c>
      <c r="C246" s="10" t="s">
        <v>1047</v>
      </c>
      <c r="D246" s="10" t="s">
        <v>1239</v>
      </c>
      <c r="E246" s="10">
        <v>1</v>
      </c>
      <c r="F246" s="10">
        <v>6.2893081761006293E-3</v>
      </c>
      <c r="G246" s="10" t="s">
        <v>100</v>
      </c>
      <c r="H246" s="10" t="s">
        <v>1261</v>
      </c>
    </row>
    <row r="247" spans="1:8" x14ac:dyDescent="0.2">
      <c r="A247" s="10" t="s">
        <v>823</v>
      </c>
      <c r="B247" s="10" t="s">
        <v>824</v>
      </c>
      <c r="C247" s="10" t="s">
        <v>1048</v>
      </c>
      <c r="D247" s="10" t="s">
        <v>1240</v>
      </c>
      <c r="E247" s="10">
        <v>1</v>
      </c>
      <c r="F247" s="10">
        <v>6.2893081761006293E-3</v>
      </c>
      <c r="G247" s="10" t="s">
        <v>100</v>
      </c>
      <c r="H247" s="10" t="s">
        <v>1261</v>
      </c>
    </row>
    <row r="248" spans="1:8" x14ac:dyDescent="0.2">
      <c r="A248" s="10" t="s">
        <v>823</v>
      </c>
      <c r="B248" s="10" t="s">
        <v>824</v>
      </c>
      <c r="C248" s="10" t="s">
        <v>1256</v>
      </c>
      <c r="D248" s="10" t="s">
        <v>1255</v>
      </c>
      <c r="E248" s="10">
        <v>1</v>
      </c>
      <c r="F248" s="10">
        <v>6.2893081761006293E-3</v>
      </c>
      <c r="G248" s="10" t="s">
        <v>100</v>
      </c>
      <c r="H248" s="10" t="s">
        <v>1261</v>
      </c>
    </row>
    <row r="249" spans="1:8" x14ac:dyDescent="0.2">
      <c r="A249" s="10" t="s">
        <v>825</v>
      </c>
      <c r="B249" s="10" t="s">
        <v>295</v>
      </c>
      <c r="C249" s="10" t="s">
        <v>1049</v>
      </c>
      <c r="D249" s="10" t="s">
        <v>1241</v>
      </c>
      <c r="E249" s="10">
        <v>1</v>
      </c>
      <c r="F249" s="10">
        <v>6.2893081761006293E-3</v>
      </c>
      <c r="G249" s="10" t="s">
        <v>100</v>
      </c>
      <c r="H249" s="10" t="s">
        <v>1261</v>
      </c>
    </row>
    <row r="250" spans="1:8" x14ac:dyDescent="0.2">
      <c r="A250" s="10" t="s">
        <v>826</v>
      </c>
      <c r="B250" s="10" t="s">
        <v>295</v>
      </c>
      <c r="C250" s="10" t="s">
        <v>297</v>
      </c>
      <c r="D250" s="10" t="s">
        <v>435</v>
      </c>
      <c r="E250" s="10">
        <v>2</v>
      </c>
      <c r="F250" s="10">
        <v>1.2578616352201259E-2</v>
      </c>
      <c r="G250" s="10" t="s">
        <v>100</v>
      </c>
      <c r="H250" s="10" t="s">
        <v>1261</v>
      </c>
    </row>
    <row r="251" spans="1:8" x14ac:dyDescent="0.2">
      <c r="A251" s="10" t="s">
        <v>828</v>
      </c>
      <c r="B251" s="10" t="s">
        <v>827</v>
      </c>
      <c r="C251" s="10" t="s">
        <v>1050</v>
      </c>
      <c r="D251" s="10" t="s">
        <v>1242</v>
      </c>
      <c r="E251" s="10">
        <v>1</v>
      </c>
      <c r="F251" s="10">
        <v>6.2893081761006293E-3</v>
      </c>
      <c r="G251" s="10" t="s">
        <v>100</v>
      </c>
      <c r="H251" s="10" t="s">
        <v>1261</v>
      </c>
    </row>
    <row r="252" spans="1:8" x14ac:dyDescent="0.2">
      <c r="A252" s="10" t="s">
        <v>829</v>
      </c>
      <c r="B252" s="10" t="s">
        <v>304</v>
      </c>
      <c r="C252" s="10" t="s">
        <v>1051</v>
      </c>
      <c r="D252" s="10" t="s">
        <v>1243</v>
      </c>
      <c r="E252" s="10">
        <v>1</v>
      </c>
      <c r="F252" s="10">
        <v>6.2893081761006293E-3</v>
      </c>
      <c r="G252" s="10" t="s">
        <v>100</v>
      </c>
      <c r="H252" s="10" t="s">
        <v>1261</v>
      </c>
    </row>
    <row r="253" spans="1:8" x14ac:dyDescent="0.2">
      <c r="A253" s="10" t="s">
        <v>831</v>
      </c>
      <c r="B253" s="10" t="s">
        <v>830</v>
      </c>
      <c r="C253" s="10" t="s">
        <v>1052</v>
      </c>
      <c r="E253" s="10">
        <v>1</v>
      </c>
      <c r="F253" s="10">
        <v>6.2893081761006293E-3</v>
      </c>
      <c r="G253" s="10" t="s">
        <v>100</v>
      </c>
      <c r="H253" s="10" t="s">
        <v>1261</v>
      </c>
    </row>
    <row r="254" spans="1:8" x14ac:dyDescent="0.2">
      <c r="A254" s="10" t="s">
        <v>831</v>
      </c>
      <c r="B254" s="10" t="s">
        <v>830</v>
      </c>
      <c r="C254" s="10" t="s">
        <v>1053</v>
      </c>
      <c r="D254" s="10" t="s">
        <v>1244</v>
      </c>
      <c r="E254" s="10">
        <v>1</v>
      </c>
      <c r="F254" s="10">
        <v>6.2893081761006293E-3</v>
      </c>
      <c r="G254" s="10" t="s">
        <v>100</v>
      </c>
      <c r="H254" s="10" t="s">
        <v>1261</v>
      </c>
    </row>
    <row r="255" spans="1:8" ht="16" x14ac:dyDescent="0.2">
      <c r="A255" t="s">
        <v>279</v>
      </c>
      <c r="B255" t="s">
        <v>278</v>
      </c>
      <c r="C255" t="s">
        <v>478</v>
      </c>
      <c r="D255"/>
      <c r="E255">
        <v>1</v>
      </c>
      <c r="F255" t="s">
        <v>1274</v>
      </c>
      <c r="G255" t="s">
        <v>138</v>
      </c>
      <c r="H255" t="s">
        <v>479</v>
      </c>
    </row>
    <row r="256" spans="1:8" ht="16" x14ac:dyDescent="0.2">
      <c r="A256" t="s">
        <v>1275</v>
      </c>
      <c r="B256" t="s">
        <v>191</v>
      </c>
      <c r="C256" t="s">
        <v>261</v>
      </c>
      <c r="D256" t="s">
        <v>427</v>
      </c>
      <c r="E256">
        <v>1</v>
      </c>
      <c r="F256" t="s">
        <v>1274</v>
      </c>
      <c r="G256" t="s">
        <v>138</v>
      </c>
      <c r="H256" t="s">
        <v>479</v>
      </c>
    </row>
    <row r="257" spans="1:8" ht="16" x14ac:dyDescent="0.2">
      <c r="A257" t="s">
        <v>252</v>
      </c>
      <c r="B257" t="s">
        <v>251</v>
      </c>
      <c r="C257" t="s">
        <v>253</v>
      </c>
      <c r="D257" t="s">
        <v>423</v>
      </c>
      <c r="E257">
        <v>1</v>
      </c>
      <c r="F257" t="s">
        <v>1274</v>
      </c>
      <c r="G257" t="s">
        <v>138</v>
      </c>
      <c r="H257" t="s">
        <v>479</v>
      </c>
    </row>
    <row r="258" spans="1:8" ht="16" x14ac:dyDescent="0.2">
      <c r="A258" t="s">
        <v>329</v>
      </c>
      <c r="B258" t="s">
        <v>328</v>
      </c>
      <c r="C258" t="s">
        <v>330</v>
      </c>
      <c r="D258" t="s">
        <v>450</v>
      </c>
      <c r="E258">
        <v>1</v>
      </c>
      <c r="F258" t="s">
        <v>1274</v>
      </c>
      <c r="G258" t="s">
        <v>138</v>
      </c>
      <c r="H258" t="s">
        <v>479</v>
      </c>
    </row>
    <row r="259" spans="1:8" ht="16" x14ac:dyDescent="0.2">
      <c r="A259" t="s">
        <v>357</v>
      </c>
      <c r="B259" t="s">
        <v>356</v>
      </c>
      <c r="C259" t="s">
        <v>358</v>
      </c>
      <c r="D259" t="s">
        <v>460</v>
      </c>
      <c r="E259">
        <v>1</v>
      </c>
      <c r="F259" t="s">
        <v>1274</v>
      </c>
      <c r="G259" t="s">
        <v>138</v>
      </c>
      <c r="H259" t="s">
        <v>479</v>
      </c>
    </row>
    <row r="260" spans="1:8" ht="16" x14ac:dyDescent="0.2">
      <c r="A260" t="s">
        <v>391</v>
      </c>
      <c r="B260" t="s">
        <v>390</v>
      </c>
      <c r="C260" t="s">
        <v>392</v>
      </c>
      <c r="D260" t="s">
        <v>469</v>
      </c>
      <c r="E260">
        <v>1</v>
      </c>
      <c r="F260" t="s">
        <v>1274</v>
      </c>
      <c r="G260" t="s">
        <v>138</v>
      </c>
      <c r="H260" t="s">
        <v>479</v>
      </c>
    </row>
    <row r="261" spans="1:8" ht="16" x14ac:dyDescent="0.2">
      <c r="A261" t="s">
        <v>302</v>
      </c>
      <c r="B261" t="s">
        <v>301</v>
      </c>
      <c r="C261" t="s">
        <v>303</v>
      </c>
      <c r="D261" t="s">
        <v>437</v>
      </c>
      <c r="E261">
        <v>1</v>
      </c>
      <c r="F261" t="s">
        <v>1274</v>
      </c>
      <c r="G261" t="s">
        <v>138</v>
      </c>
      <c r="H261" t="s">
        <v>479</v>
      </c>
    </row>
    <row r="262" spans="1:8" ht="16" x14ac:dyDescent="0.2">
      <c r="A262" t="s">
        <v>343</v>
      </c>
      <c r="B262" t="s">
        <v>301</v>
      </c>
      <c r="C262" t="s">
        <v>344</v>
      </c>
      <c r="D262"/>
      <c r="E262">
        <v>1</v>
      </c>
      <c r="F262" t="s">
        <v>1274</v>
      </c>
      <c r="G262" t="s">
        <v>138</v>
      </c>
      <c r="H262" t="s">
        <v>479</v>
      </c>
    </row>
    <row r="263" spans="1:8" ht="16" x14ac:dyDescent="0.2">
      <c r="A263" t="s">
        <v>413</v>
      </c>
      <c r="B263" t="s">
        <v>412</v>
      </c>
      <c r="C263" t="s">
        <v>414</v>
      </c>
      <c r="D263" t="s">
        <v>475</v>
      </c>
      <c r="E263">
        <v>1</v>
      </c>
      <c r="F263" t="s">
        <v>1274</v>
      </c>
      <c r="G263" t="s">
        <v>138</v>
      </c>
      <c r="H263" t="s">
        <v>479</v>
      </c>
    </row>
    <row r="264" spans="1:8" ht="16" x14ac:dyDescent="0.2">
      <c r="A264" t="s">
        <v>398</v>
      </c>
      <c r="B264" t="s">
        <v>397</v>
      </c>
      <c r="C264" t="s">
        <v>399</v>
      </c>
      <c r="D264" t="s">
        <v>470</v>
      </c>
      <c r="E264">
        <v>1</v>
      </c>
      <c r="F264" t="s">
        <v>1274</v>
      </c>
      <c r="G264" t="s">
        <v>138</v>
      </c>
      <c r="H264" t="s">
        <v>479</v>
      </c>
    </row>
    <row r="265" spans="1:8" ht="16" x14ac:dyDescent="0.2">
      <c r="A265" t="s">
        <v>402</v>
      </c>
      <c r="B265" t="s">
        <v>401</v>
      </c>
      <c r="C265" t="s">
        <v>403</v>
      </c>
      <c r="D265" t="s">
        <v>471</v>
      </c>
      <c r="E265">
        <v>1</v>
      </c>
      <c r="F265" t="s">
        <v>1274</v>
      </c>
      <c r="G265" t="s">
        <v>138</v>
      </c>
      <c r="H265" t="s">
        <v>479</v>
      </c>
    </row>
    <row r="266" spans="1:8" ht="16" x14ac:dyDescent="0.2">
      <c r="A266" t="s">
        <v>375</v>
      </c>
      <c r="B266" t="s">
        <v>374</v>
      </c>
      <c r="C266" t="s">
        <v>376</v>
      </c>
      <c r="D266" t="s">
        <v>466</v>
      </c>
      <c r="E266">
        <v>1</v>
      </c>
      <c r="F266" t="s">
        <v>1274</v>
      </c>
      <c r="G266" t="s">
        <v>138</v>
      </c>
      <c r="H266" t="s">
        <v>479</v>
      </c>
    </row>
    <row r="267" spans="1:8" ht="16" x14ac:dyDescent="0.2">
      <c r="A267" t="s">
        <v>366</v>
      </c>
      <c r="B267" t="s">
        <v>365</v>
      </c>
      <c r="C267" t="s">
        <v>367</v>
      </c>
      <c r="D267" t="s">
        <v>463</v>
      </c>
      <c r="E267">
        <v>1</v>
      </c>
      <c r="F267" t="s">
        <v>1274</v>
      </c>
      <c r="G267" t="s">
        <v>138</v>
      </c>
      <c r="H267" t="s">
        <v>479</v>
      </c>
    </row>
    <row r="268" spans="1:8" ht="16" x14ac:dyDescent="0.2">
      <c r="A268" t="s">
        <v>346</v>
      </c>
      <c r="B268" t="s">
        <v>9</v>
      </c>
      <c r="C268" t="s">
        <v>415</v>
      </c>
      <c r="D268" t="s">
        <v>476</v>
      </c>
      <c r="E268">
        <v>1</v>
      </c>
      <c r="F268" t="s">
        <v>1274</v>
      </c>
      <c r="G268" t="s">
        <v>138</v>
      </c>
      <c r="H268" t="s">
        <v>479</v>
      </c>
    </row>
    <row r="269" spans="1:8" ht="16" x14ac:dyDescent="0.2">
      <c r="A269" t="s">
        <v>246</v>
      </c>
      <c r="B269" t="s">
        <v>9</v>
      </c>
      <c r="C269" t="s">
        <v>247</v>
      </c>
      <c r="D269" t="s">
        <v>421</v>
      </c>
      <c r="E269">
        <v>2</v>
      </c>
      <c r="F269" t="s">
        <v>1276</v>
      </c>
      <c r="G269" t="s">
        <v>138</v>
      </c>
      <c r="H269" t="s">
        <v>479</v>
      </c>
    </row>
    <row r="270" spans="1:8" ht="16" x14ac:dyDescent="0.2">
      <c r="A270" t="s">
        <v>346</v>
      </c>
      <c r="B270" t="s">
        <v>9</v>
      </c>
      <c r="C270" t="s">
        <v>247</v>
      </c>
      <c r="D270" t="s">
        <v>421</v>
      </c>
      <c r="E270">
        <v>2</v>
      </c>
      <c r="F270" t="s">
        <v>1276</v>
      </c>
      <c r="G270" t="s">
        <v>138</v>
      </c>
      <c r="H270" t="s">
        <v>479</v>
      </c>
    </row>
    <row r="271" spans="1:8" ht="16" x14ac:dyDescent="0.2">
      <c r="A271" t="s">
        <v>1267</v>
      </c>
      <c r="B271" t="s">
        <v>256</v>
      </c>
      <c r="C271" t="s">
        <v>160</v>
      </c>
      <c r="D271" t="s">
        <v>424</v>
      </c>
      <c r="E271">
        <v>2</v>
      </c>
      <c r="F271" t="s">
        <v>1276</v>
      </c>
      <c r="G271" t="s">
        <v>138</v>
      </c>
      <c r="H271" t="s">
        <v>479</v>
      </c>
    </row>
    <row r="272" spans="1:8" ht="16" x14ac:dyDescent="0.2">
      <c r="A272" t="s">
        <v>327</v>
      </c>
      <c r="B272" t="s">
        <v>256</v>
      </c>
      <c r="C272" t="s">
        <v>160</v>
      </c>
      <c r="D272" t="s">
        <v>424</v>
      </c>
      <c r="E272">
        <v>2</v>
      </c>
      <c r="F272" t="s">
        <v>1276</v>
      </c>
      <c r="G272" t="s">
        <v>138</v>
      </c>
      <c r="H272" t="s">
        <v>479</v>
      </c>
    </row>
    <row r="273" spans="1:8" ht="16" x14ac:dyDescent="0.2">
      <c r="A273" t="s">
        <v>1273</v>
      </c>
      <c r="B273" t="s">
        <v>380</v>
      </c>
      <c r="C273" t="s">
        <v>381</v>
      </c>
      <c r="D273"/>
      <c r="E273">
        <v>1</v>
      </c>
      <c r="F273" t="s">
        <v>1274</v>
      </c>
      <c r="G273" t="s">
        <v>138</v>
      </c>
      <c r="H273" t="s">
        <v>479</v>
      </c>
    </row>
    <row r="274" spans="1:8" ht="16" x14ac:dyDescent="0.2">
      <c r="A274" t="s">
        <v>394</v>
      </c>
      <c r="B274" t="s">
        <v>393</v>
      </c>
      <c r="C274" t="s">
        <v>395</v>
      </c>
      <c r="D274"/>
      <c r="E274">
        <v>1</v>
      </c>
      <c r="F274" t="s">
        <v>1274</v>
      </c>
      <c r="G274" t="s">
        <v>138</v>
      </c>
      <c r="H274" t="s">
        <v>479</v>
      </c>
    </row>
    <row r="275" spans="1:8" ht="16" x14ac:dyDescent="0.2">
      <c r="A275" t="s">
        <v>388</v>
      </c>
      <c r="B275" t="s">
        <v>387</v>
      </c>
      <c r="C275" t="s">
        <v>389</v>
      </c>
      <c r="D275"/>
      <c r="E275">
        <v>1</v>
      </c>
      <c r="F275" t="s">
        <v>1274</v>
      </c>
      <c r="G275" t="s">
        <v>138</v>
      </c>
      <c r="H275" t="s">
        <v>479</v>
      </c>
    </row>
    <row r="276" spans="1:8" ht="16" x14ac:dyDescent="0.2">
      <c r="A276" t="s">
        <v>369</v>
      </c>
      <c r="B276" t="s">
        <v>368</v>
      </c>
      <c r="C276" t="s">
        <v>370</v>
      </c>
      <c r="D276" t="s">
        <v>465</v>
      </c>
      <c r="E276">
        <v>1</v>
      </c>
      <c r="F276" t="s">
        <v>1274</v>
      </c>
      <c r="G276" t="s">
        <v>138</v>
      </c>
      <c r="H276" t="s">
        <v>479</v>
      </c>
    </row>
    <row r="277" spans="1:8" ht="16" x14ac:dyDescent="0.2">
      <c r="A277" t="s">
        <v>354</v>
      </c>
      <c r="B277" t="s">
        <v>353</v>
      </c>
      <c r="C277" t="s">
        <v>355</v>
      </c>
      <c r="D277" t="s">
        <v>458</v>
      </c>
      <c r="E277">
        <v>1</v>
      </c>
      <c r="F277" t="s">
        <v>1274</v>
      </c>
      <c r="G277" t="s">
        <v>138</v>
      </c>
      <c r="H277" t="s">
        <v>479</v>
      </c>
    </row>
    <row r="278" spans="1:8" ht="16" x14ac:dyDescent="0.2">
      <c r="A278" t="s">
        <v>322</v>
      </c>
      <c r="B278" t="s">
        <v>321</v>
      </c>
      <c r="C278" t="s">
        <v>323</v>
      </c>
      <c r="D278" t="s">
        <v>448</v>
      </c>
      <c r="E278">
        <v>2</v>
      </c>
      <c r="F278" t="s">
        <v>1276</v>
      </c>
      <c r="G278" t="s">
        <v>138</v>
      </c>
      <c r="H278" t="s">
        <v>479</v>
      </c>
    </row>
    <row r="279" spans="1:8" ht="16" x14ac:dyDescent="0.2">
      <c r="A279" t="s">
        <v>322</v>
      </c>
      <c r="B279" t="s">
        <v>321</v>
      </c>
      <c r="C279" t="s">
        <v>323</v>
      </c>
      <c r="D279" t="s">
        <v>448</v>
      </c>
      <c r="E279">
        <v>2</v>
      </c>
      <c r="F279" t="s">
        <v>1276</v>
      </c>
      <c r="G279" t="s">
        <v>138</v>
      </c>
      <c r="H279" t="s">
        <v>479</v>
      </c>
    </row>
    <row r="280" spans="1:8" ht="16" x14ac:dyDescent="0.2">
      <c r="A280" t="s">
        <v>407</v>
      </c>
      <c r="B280" t="s">
        <v>406</v>
      </c>
      <c r="C280" t="s">
        <v>408</v>
      </c>
      <c r="D280" t="s">
        <v>473</v>
      </c>
      <c r="E280">
        <v>1</v>
      </c>
      <c r="F280" t="s">
        <v>1274</v>
      </c>
      <c r="G280" t="s">
        <v>138</v>
      </c>
      <c r="H280" t="s">
        <v>479</v>
      </c>
    </row>
    <row r="281" spans="1:8" ht="16" x14ac:dyDescent="0.2">
      <c r="A281" t="s">
        <v>332</v>
      </c>
      <c r="B281" t="s">
        <v>334</v>
      </c>
      <c r="C281" t="s">
        <v>335</v>
      </c>
      <c r="D281" t="s">
        <v>452</v>
      </c>
      <c r="E281">
        <v>1</v>
      </c>
      <c r="F281" t="s">
        <v>1274</v>
      </c>
      <c r="G281" t="s">
        <v>138</v>
      </c>
      <c r="H281" t="s">
        <v>479</v>
      </c>
    </row>
    <row r="282" spans="1:8" ht="16" x14ac:dyDescent="0.2">
      <c r="A282" t="s">
        <v>282</v>
      </c>
      <c r="B282" t="s">
        <v>2</v>
      </c>
      <c r="C282" t="s">
        <v>65</v>
      </c>
      <c r="D282" t="s">
        <v>443</v>
      </c>
      <c r="E282">
        <v>2</v>
      </c>
      <c r="F282" t="s">
        <v>1276</v>
      </c>
      <c r="G282" t="s">
        <v>138</v>
      </c>
      <c r="H282" t="s">
        <v>479</v>
      </c>
    </row>
    <row r="283" spans="1:8" ht="16" x14ac:dyDescent="0.2">
      <c r="A283" t="s">
        <v>282</v>
      </c>
      <c r="B283" t="s">
        <v>2</v>
      </c>
      <c r="C283" t="s">
        <v>65</v>
      </c>
      <c r="D283" t="s">
        <v>443</v>
      </c>
      <c r="E283">
        <v>2</v>
      </c>
      <c r="F283" t="s">
        <v>1276</v>
      </c>
      <c r="G283" t="s">
        <v>138</v>
      </c>
      <c r="H283" t="s">
        <v>479</v>
      </c>
    </row>
    <row r="284" spans="1:8" ht="16" x14ac:dyDescent="0.2">
      <c r="A284" t="s">
        <v>282</v>
      </c>
      <c r="B284" t="s">
        <v>2</v>
      </c>
      <c r="C284" t="s">
        <v>66</v>
      </c>
      <c r="D284" t="s">
        <v>459</v>
      </c>
      <c r="E284">
        <v>1</v>
      </c>
      <c r="F284" t="s">
        <v>1274</v>
      </c>
      <c r="G284" t="s">
        <v>138</v>
      </c>
      <c r="H284" t="s">
        <v>479</v>
      </c>
    </row>
    <row r="285" spans="1:8" ht="16" x14ac:dyDescent="0.2">
      <c r="A285" t="s">
        <v>282</v>
      </c>
      <c r="B285" t="s">
        <v>2</v>
      </c>
      <c r="C285" t="s">
        <v>66</v>
      </c>
      <c r="D285" t="s">
        <v>444</v>
      </c>
      <c r="E285">
        <v>1</v>
      </c>
      <c r="F285" t="s">
        <v>1274</v>
      </c>
      <c r="G285" t="s">
        <v>138</v>
      </c>
      <c r="H285" t="s">
        <v>479</v>
      </c>
    </row>
    <row r="286" spans="1:8" ht="16" x14ac:dyDescent="0.2">
      <c r="A286" t="s">
        <v>372</v>
      </c>
      <c r="B286" t="s">
        <v>371</v>
      </c>
      <c r="C286" t="s">
        <v>373</v>
      </c>
      <c r="D286"/>
      <c r="E286">
        <v>1</v>
      </c>
      <c r="F286" t="s">
        <v>1274</v>
      </c>
      <c r="G286" t="s">
        <v>138</v>
      </c>
      <c r="H286" t="s">
        <v>479</v>
      </c>
    </row>
    <row r="287" spans="1:8" ht="16" x14ac:dyDescent="0.2">
      <c r="A287" t="s">
        <v>290</v>
      </c>
      <c r="B287" t="s">
        <v>289</v>
      </c>
      <c r="C287" t="s">
        <v>291</v>
      </c>
      <c r="D287"/>
      <c r="E287">
        <v>5</v>
      </c>
      <c r="F287" t="s">
        <v>1277</v>
      </c>
      <c r="G287" t="s">
        <v>138</v>
      </c>
      <c r="H287" t="s">
        <v>479</v>
      </c>
    </row>
    <row r="288" spans="1:8" ht="16" x14ac:dyDescent="0.2">
      <c r="A288" t="s">
        <v>290</v>
      </c>
      <c r="B288" t="s">
        <v>289</v>
      </c>
      <c r="C288" t="s">
        <v>291</v>
      </c>
      <c r="D288"/>
      <c r="E288">
        <v>5</v>
      </c>
      <c r="F288" t="s">
        <v>1277</v>
      </c>
      <c r="G288" t="s">
        <v>138</v>
      </c>
      <c r="H288" t="s">
        <v>479</v>
      </c>
    </row>
    <row r="289" spans="1:8" ht="16" x14ac:dyDescent="0.2">
      <c r="A289" t="s">
        <v>332</v>
      </c>
      <c r="B289" t="s">
        <v>289</v>
      </c>
      <c r="C289" t="s">
        <v>291</v>
      </c>
      <c r="D289"/>
      <c r="E289">
        <v>5</v>
      </c>
      <c r="F289" t="s">
        <v>1277</v>
      </c>
      <c r="G289" t="s">
        <v>138</v>
      </c>
      <c r="H289" t="s">
        <v>479</v>
      </c>
    </row>
    <row r="290" spans="1:8" ht="16" x14ac:dyDescent="0.2">
      <c r="A290" t="s">
        <v>290</v>
      </c>
      <c r="B290" t="s">
        <v>289</v>
      </c>
      <c r="C290" t="s">
        <v>291</v>
      </c>
      <c r="D290"/>
      <c r="E290">
        <v>5</v>
      </c>
      <c r="F290" t="s">
        <v>1277</v>
      </c>
      <c r="G290" t="s">
        <v>138</v>
      </c>
      <c r="H290" t="s">
        <v>479</v>
      </c>
    </row>
    <row r="291" spans="1:8" ht="16" x14ac:dyDescent="0.2">
      <c r="A291" t="s">
        <v>290</v>
      </c>
      <c r="B291" t="s">
        <v>289</v>
      </c>
      <c r="C291" t="s">
        <v>291</v>
      </c>
      <c r="D291"/>
      <c r="E291">
        <v>5</v>
      </c>
      <c r="F291" t="s">
        <v>1277</v>
      </c>
      <c r="G291" t="s">
        <v>138</v>
      </c>
      <c r="H291" t="s">
        <v>479</v>
      </c>
    </row>
    <row r="292" spans="1:8" ht="16" x14ac:dyDescent="0.2">
      <c r="A292" t="s">
        <v>290</v>
      </c>
      <c r="B292" t="s">
        <v>289</v>
      </c>
      <c r="C292" t="s">
        <v>292</v>
      </c>
      <c r="D292"/>
      <c r="E292">
        <v>5</v>
      </c>
      <c r="F292" t="s">
        <v>1277</v>
      </c>
      <c r="G292" t="s">
        <v>138</v>
      </c>
      <c r="H292" t="s">
        <v>479</v>
      </c>
    </row>
    <row r="293" spans="1:8" ht="16" x14ac:dyDescent="0.2">
      <c r="A293" t="s">
        <v>290</v>
      </c>
      <c r="B293" t="s">
        <v>289</v>
      </c>
      <c r="C293" t="s">
        <v>292</v>
      </c>
      <c r="D293"/>
      <c r="E293">
        <v>5</v>
      </c>
      <c r="F293" t="s">
        <v>1277</v>
      </c>
      <c r="G293" t="s">
        <v>138</v>
      </c>
      <c r="H293" t="s">
        <v>479</v>
      </c>
    </row>
    <row r="294" spans="1:8" ht="16" x14ac:dyDescent="0.2">
      <c r="A294" t="s">
        <v>332</v>
      </c>
      <c r="B294" t="s">
        <v>289</v>
      </c>
      <c r="C294" t="s">
        <v>292</v>
      </c>
      <c r="D294"/>
      <c r="E294">
        <v>5</v>
      </c>
      <c r="F294" t="s">
        <v>1277</v>
      </c>
      <c r="G294" t="s">
        <v>138</v>
      </c>
      <c r="H294" t="s">
        <v>479</v>
      </c>
    </row>
    <row r="295" spans="1:8" ht="16" x14ac:dyDescent="0.2">
      <c r="A295" t="s">
        <v>290</v>
      </c>
      <c r="B295" t="s">
        <v>289</v>
      </c>
      <c r="C295" t="s">
        <v>292</v>
      </c>
      <c r="D295"/>
      <c r="E295">
        <v>5</v>
      </c>
      <c r="F295" t="s">
        <v>1277</v>
      </c>
      <c r="G295" t="s">
        <v>138</v>
      </c>
      <c r="H295" t="s">
        <v>479</v>
      </c>
    </row>
    <row r="296" spans="1:8" ht="16" x14ac:dyDescent="0.2">
      <c r="A296" t="s">
        <v>290</v>
      </c>
      <c r="B296" t="s">
        <v>289</v>
      </c>
      <c r="C296" t="s">
        <v>292</v>
      </c>
      <c r="D296"/>
      <c r="E296">
        <v>5</v>
      </c>
      <c r="F296" t="s">
        <v>1277</v>
      </c>
      <c r="G296" t="s">
        <v>138</v>
      </c>
      <c r="H296" t="s">
        <v>479</v>
      </c>
    </row>
    <row r="297" spans="1:8" ht="16" x14ac:dyDescent="0.2">
      <c r="A297" t="s">
        <v>290</v>
      </c>
      <c r="B297" t="s">
        <v>289</v>
      </c>
      <c r="C297" t="s">
        <v>293</v>
      </c>
      <c r="D297"/>
      <c r="E297">
        <v>5</v>
      </c>
      <c r="F297" t="s">
        <v>1277</v>
      </c>
      <c r="G297" t="s">
        <v>138</v>
      </c>
      <c r="H297" t="s">
        <v>479</v>
      </c>
    </row>
    <row r="298" spans="1:8" ht="16" x14ac:dyDescent="0.2">
      <c r="A298" t="s">
        <v>290</v>
      </c>
      <c r="B298" t="s">
        <v>289</v>
      </c>
      <c r="C298" t="s">
        <v>293</v>
      </c>
      <c r="D298"/>
      <c r="E298">
        <v>5</v>
      </c>
      <c r="F298" t="s">
        <v>1277</v>
      </c>
      <c r="G298" t="s">
        <v>138</v>
      </c>
      <c r="H298" t="s">
        <v>479</v>
      </c>
    </row>
    <row r="299" spans="1:8" ht="16" x14ac:dyDescent="0.2">
      <c r="A299" t="s">
        <v>332</v>
      </c>
      <c r="B299" t="s">
        <v>289</v>
      </c>
      <c r="C299" t="s">
        <v>293</v>
      </c>
      <c r="D299"/>
      <c r="E299">
        <v>5</v>
      </c>
      <c r="F299" t="s">
        <v>1277</v>
      </c>
      <c r="G299" t="s">
        <v>138</v>
      </c>
      <c r="H299" t="s">
        <v>479</v>
      </c>
    </row>
    <row r="300" spans="1:8" ht="16" x14ac:dyDescent="0.2">
      <c r="A300" t="s">
        <v>290</v>
      </c>
      <c r="B300" t="s">
        <v>289</v>
      </c>
      <c r="C300" t="s">
        <v>293</v>
      </c>
      <c r="D300"/>
      <c r="E300">
        <v>5</v>
      </c>
      <c r="F300" t="s">
        <v>1277</v>
      </c>
      <c r="G300" t="s">
        <v>138</v>
      </c>
      <c r="H300" t="s">
        <v>479</v>
      </c>
    </row>
    <row r="301" spans="1:8" ht="16" x14ac:dyDescent="0.2">
      <c r="A301" t="s">
        <v>290</v>
      </c>
      <c r="B301" t="s">
        <v>289</v>
      </c>
      <c r="C301" t="s">
        <v>293</v>
      </c>
      <c r="D301"/>
      <c r="E301">
        <v>5</v>
      </c>
      <c r="F301" t="s">
        <v>1277</v>
      </c>
      <c r="G301" t="s">
        <v>138</v>
      </c>
      <c r="H301" t="s">
        <v>479</v>
      </c>
    </row>
    <row r="302" spans="1:8" ht="16" x14ac:dyDescent="0.2">
      <c r="A302" t="s">
        <v>290</v>
      </c>
      <c r="B302" t="s">
        <v>289</v>
      </c>
      <c r="C302" t="s">
        <v>320</v>
      </c>
      <c r="D302" t="s">
        <v>447</v>
      </c>
      <c r="E302">
        <v>2</v>
      </c>
      <c r="F302" t="s">
        <v>1276</v>
      </c>
      <c r="G302" t="s">
        <v>138</v>
      </c>
      <c r="H302" t="s">
        <v>479</v>
      </c>
    </row>
    <row r="303" spans="1:8" ht="16" x14ac:dyDescent="0.2">
      <c r="A303" t="s">
        <v>396</v>
      </c>
      <c r="B303" t="s">
        <v>289</v>
      </c>
      <c r="C303" t="s">
        <v>320</v>
      </c>
      <c r="D303" t="s">
        <v>447</v>
      </c>
      <c r="E303">
        <v>2</v>
      </c>
      <c r="F303" t="s">
        <v>1276</v>
      </c>
      <c r="G303" t="s">
        <v>138</v>
      </c>
      <c r="H303" t="s">
        <v>479</v>
      </c>
    </row>
    <row r="304" spans="1:8" ht="16" x14ac:dyDescent="0.2">
      <c r="A304" t="s">
        <v>290</v>
      </c>
      <c r="B304" t="s">
        <v>289</v>
      </c>
      <c r="C304" t="s">
        <v>294</v>
      </c>
      <c r="D304" t="s">
        <v>434</v>
      </c>
      <c r="E304">
        <v>4</v>
      </c>
      <c r="F304" t="s">
        <v>1278</v>
      </c>
      <c r="G304" t="s">
        <v>138</v>
      </c>
      <c r="H304" t="s">
        <v>479</v>
      </c>
    </row>
    <row r="305" spans="1:8" ht="16" x14ac:dyDescent="0.2">
      <c r="A305" t="s">
        <v>290</v>
      </c>
      <c r="B305" t="s">
        <v>289</v>
      </c>
      <c r="C305" t="s">
        <v>294</v>
      </c>
      <c r="D305" t="s">
        <v>434</v>
      </c>
      <c r="E305">
        <v>4</v>
      </c>
      <c r="F305" t="s">
        <v>1278</v>
      </c>
      <c r="G305" t="s">
        <v>138</v>
      </c>
      <c r="H305" t="s">
        <v>479</v>
      </c>
    </row>
    <row r="306" spans="1:8" ht="16" x14ac:dyDescent="0.2">
      <c r="A306" t="s">
        <v>332</v>
      </c>
      <c r="B306" t="s">
        <v>289</v>
      </c>
      <c r="C306" t="s">
        <v>294</v>
      </c>
      <c r="D306" t="s">
        <v>434</v>
      </c>
      <c r="E306">
        <v>4</v>
      </c>
      <c r="F306" t="s">
        <v>1278</v>
      </c>
      <c r="G306" t="s">
        <v>138</v>
      </c>
      <c r="H306" t="s">
        <v>479</v>
      </c>
    </row>
    <row r="307" spans="1:8" ht="16" x14ac:dyDescent="0.2">
      <c r="A307" t="s">
        <v>290</v>
      </c>
      <c r="B307" t="s">
        <v>289</v>
      </c>
      <c r="C307" t="s">
        <v>294</v>
      </c>
      <c r="D307" t="s">
        <v>434</v>
      </c>
      <c r="E307">
        <v>4</v>
      </c>
      <c r="F307" t="s">
        <v>1278</v>
      </c>
      <c r="G307" t="s">
        <v>138</v>
      </c>
      <c r="H307" t="s">
        <v>479</v>
      </c>
    </row>
    <row r="308" spans="1:8" ht="16" x14ac:dyDescent="0.2">
      <c r="A308" t="s">
        <v>290</v>
      </c>
      <c r="B308" t="s">
        <v>289</v>
      </c>
      <c r="C308" t="s">
        <v>294</v>
      </c>
      <c r="D308" t="s">
        <v>464</v>
      </c>
      <c r="E308">
        <v>1</v>
      </c>
      <c r="F308" t="s">
        <v>1274</v>
      </c>
      <c r="G308" t="s">
        <v>138</v>
      </c>
      <c r="H308" t="s">
        <v>479</v>
      </c>
    </row>
    <row r="309" spans="1:8" ht="16" x14ac:dyDescent="0.2">
      <c r="A309" t="s">
        <v>416</v>
      </c>
      <c r="B309" t="s">
        <v>169</v>
      </c>
      <c r="C309" t="s">
        <v>183</v>
      </c>
      <c r="D309" t="s">
        <v>184</v>
      </c>
      <c r="E309">
        <v>1</v>
      </c>
      <c r="F309" t="s">
        <v>1274</v>
      </c>
      <c r="G309" t="s">
        <v>138</v>
      </c>
      <c r="H309" t="s">
        <v>479</v>
      </c>
    </row>
    <row r="310" spans="1:8" ht="16" x14ac:dyDescent="0.2">
      <c r="A310" t="s">
        <v>314</v>
      </c>
      <c r="B310" t="s">
        <v>313</v>
      </c>
      <c r="C310" t="s">
        <v>315</v>
      </c>
      <c r="D310" t="s">
        <v>446</v>
      </c>
      <c r="E310">
        <v>1</v>
      </c>
      <c r="F310" t="s">
        <v>1274</v>
      </c>
      <c r="G310" t="s">
        <v>138</v>
      </c>
      <c r="H310" t="s">
        <v>479</v>
      </c>
    </row>
    <row r="311" spans="1:8" ht="16" x14ac:dyDescent="0.2">
      <c r="A311" t="s">
        <v>341</v>
      </c>
      <c r="B311" t="s">
        <v>340</v>
      </c>
      <c r="C311" t="s">
        <v>342</v>
      </c>
      <c r="D311" t="s">
        <v>455</v>
      </c>
      <c r="E311">
        <v>1</v>
      </c>
      <c r="F311" t="s">
        <v>1274</v>
      </c>
      <c r="G311" t="s">
        <v>138</v>
      </c>
      <c r="H311" t="s">
        <v>479</v>
      </c>
    </row>
    <row r="312" spans="1:8" ht="16" x14ac:dyDescent="0.2">
      <c r="A312" t="s">
        <v>249</v>
      </c>
      <c r="B312" t="s">
        <v>248</v>
      </c>
      <c r="C312" t="s">
        <v>250</v>
      </c>
      <c r="D312" t="s">
        <v>422</v>
      </c>
      <c r="E312">
        <v>1</v>
      </c>
      <c r="F312" t="s">
        <v>1274</v>
      </c>
      <c r="G312" t="s">
        <v>138</v>
      </c>
      <c r="H312" t="s">
        <v>479</v>
      </c>
    </row>
    <row r="313" spans="1:8" ht="16" x14ac:dyDescent="0.2">
      <c r="A313" t="s">
        <v>244</v>
      </c>
      <c r="B313" t="s">
        <v>243</v>
      </c>
      <c r="C313" t="s">
        <v>270</v>
      </c>
      <c r="D313" t="s">
        <v>429</v>
      </c>
      <c r="E313">
        <v>11</v>
      </c>
      <c r="F313" t="s">
        <v>1279</v>
      </c>
      <c r="G313" t="s">
        <v>138</v>
      </c>
      <c r="H313" t="s">
        <v>479</v>
      </c>
    </row>
    <row r="314" spans="1:8" ht="16" x14ac:dyDescent="0.2">
      <c r="A314" t="s">
        <v>244</v>
      </c>
      <c r="B314" t="s">
        <v>243</v>
      </c>
      <c r="C314" t="s">
        <v>270</v>
      </c>
      <c r="D314" t="s">
        <v>429</v>
      </c>
      <c r="E314">
        <v>11</v>
      </c>
      <c r="F314" t="s">
        <v>1279</v>
      </c>
      <c r="G314" t="s">
        <v>138</v>
      </c>
      <c r="H314" t="s">
        <v>479</v>
      </c>
    </row>
    <row r="315" spans="1:8" ht="16" x14ac:dyDescent="0.2">
      <c r="A315" t="s">
        <v>244</v>
      </c>
      <c r="B315" t="s">
        <v>243</v>
      </c>
      <c r="C315" t="s">
        <v>270</v>
      </c>
      <c r="D315" t="s">
        <v>429</v>
      </c>
      <c r="E315">
        <v>11</v>
      </c>
      <c r="F315" t="s">
        <v>1279</v>
      </c>
      <c r="G315" t="s">
        <v>138</v>
      </c>
      <c r="H315" t="s">
        <v>479</v>
      </c>
    </row>
    <row r="316" spans="1:8" ht="16" x14ac:dyDescent="0.2">
      <c r="A316" t="s">
        <v>244</v>
      </c>
      <c r="B316" t="s">
        <v>243</v>
      </c>
      <c r="C316" t="s">
        <v>270</v>
      </c>
      <c r="D316" t="s">
        <v>429</v>
      </c>
      <c r="E316">
        <v>11</v>
      </c>
      <c r="F316" t="s">
        <v>1279</v>
      </c>
      <c r="G316" t="s">
        <v>138</v>
      </c>
      <c r="H316" t="s">
        <v>479</v>
      </c>
    </row>
    <row r="317" spans="1:8" ht="16" x14ac:dyDescent="0.2">
      <c r="A317" t="s">
        <v>244</v>
      </c>
      <c r="B317" t="s">
        <v>243</v>
      </c>
      <c r="C317" t="s">
        <v>270</v>
      </c>
      <c r="D317" t="s">
        <v>429</v>
      </c>
      <c r="E317">
        <v>11</v>
      </c>
      <c r="F317" t="s">
        <v>1279</v>
      </c>
      <c r="G317" t="s">
        <v>138</v>
      </c>
      <c r="H317" t="s">
        <v>479</v>
      </c>
    </row>
    <row r="318" spans="1:8" ht="16" x14ac:dyDescent="0.2">
      <c r="A318" t="s">
        <v>244</v>
      </c>
      <c r="B318" t="s">
        <v>243</v>
      </c>
      <c r="C318" t="s">
        <v>270</v>
      </c>
      <c r="D318" t="s">
        <v>429</v>
      </c>
      <c r="E318">
        <v>11</v>
      </c>
      <c r="F318" t="s">
        <v>1279</v>
      </c>
      <c r="G318" t="s">
        <v>138</v>
      </c>
      <c r="H318" t="s">
        <v>479</v>
      </c>
    </row>
    <row r="319" spans="1:8" ht="16" x14ac:dyDescent="0.2">
      <c r="A319" t="s">
        <v>244</v>
      </c>
      <c r="B319" t="s">
        <v>243</v>
      </c>
      <c r="C319" t="s">
        <v>270</v>
      </c>
      <c r="D319" t="s">
        <v>429</v>
      </c>
      <c r="E319">
        <v>11</v>
      </c>
      <c r="F319" t="s">
        <v>1279</v>
      </c>
      <c r="G319" t="s">
        <v>138</v>
      </c>
      <c r="H319" t="s">
        <v>479</v>
      </c>
    </row>
    <row r="320" spans="1:8" ht="16" x14ac:dyDescent="0.2">
      <c r="A320" t="s">
        <v>244</v>
      </c>
      <c r="B320" t="s">
        <v>243</v>
      </c>
      <c r="C320" t="s">
        <v>270</v>
      </c>
      <c r="D320" t="s">
        <v>429</v>
      </c>
      <c r="E320">
        <v>11</v>
      </c>
      <c r="F320" t="s">
        <v>1279</v>
      </c>
      <c r="G320" t="s">
        <v>138</v>
      </c>
      <c r="H320" t="s">
        <v>479</v>
      </c>
    </row>
    <row r="321" spans="1:8" ht="16" x14ac:dyDescent="0.2">
      <c r="A321" t="s">
        <v>1270</v>
      </c>
      <c r="B321" t="s">
        <v>243</v>
      </c>
      <c r="C321" t="s">
        <v>270</v>
      </c>
      <c r="D321" t="s">
        <v>429</v>
      </c>
      <c r="E321">
        <v>11</v>
      </c>
      <c r="F321" t="s">
        <v>1279</v>
      </c>
      <c r="G321" t="s">
        <v>138</v>
      </c>
      <c r="H321" t="s">
        <v>479</v>
      </c>
    </row>
    <row r="322" spans="1:8" ht="16" x14ac:dyDescent="0.2">
      <c r="A322" t="s">
        <v>244</v>
      </c>
      <c r="B322" t="s">
        <v>243</v>
      </c>
      <c r="C322" t="s">
        <v>270</v>
      </c>
      <c r="D322" t="s">
        <v>429</v>
      </c>
      <c r="E322">
        <v>11</v>
      </c>
      <c r="F322" t="s">
        <v>1279</v>
      </c>
      <c r="G322" t="s">
        <v>138</v>
      </c>
      <c r="H322" t="s">
        <v>479</v>
      </c>
    </row>
    <row r="323" spans="1:8" ht="16" x14ac:dyDescent="0.2">
      <c r="A323" t="s">
        <v>244</v>
      </c>
      <c r="B323" t="s">
        <v>243</v>
      </c>
      <c r="C323" t="s">
        <v>270</v>
      </c>
      <c r="D323" t="s">
        <v>429</v>
      </c>
      <c r="E323">
        <v>11</v>
      </c>
      <c r="F323" t="s">
        <v>1279</v>
      </c>
      <c r="G323" t="s">
        <v>138</v>
      </c>
      <c r="H323" t="s">
        <v>479</v>
      </c>
    </row>
    <row r="324" spans="1:8" ht="16" x14ac:dyDescent="0.2">
      <c r="A324" t="s">
        <v>244</v>
      </c>
      <c r="B324" t="s">
        <v>243</v>
      </c>
      <c r="C324" t="s">
        <v>245</v>
      </c>
      <c r="D324" t="s">
        <v>420</v>
      </c>
      <c r="E324">
        <v>4</v>
      </c>
      <c r="F324" t="s">
        <v>1278</v>
      </c>
      <c r="G324" t="s">
        <v>138</v>
      </c>
      <c r="H324" t="s">
        <v>479</v>
      </c>
    </row>
    <row r="325" spans="1:8" ht="16" x14ac:dyDescent="0.2">
      <c r="A325" t="s">
        <v>244</v>
      </c>
      <c r="B325" t="s">
        <v>243</v>
      </c>
      <c r="C325" t="s">
        <v>245</v>
      </c>
      <c r="D325" t="s">
        <v>420</v>
      </c>
      <c r="E325">
        <v>4</v>
      </c>
      <c r="F325" t="s">
        <v>1278</v>
      </c>
      <c r="G325" t="s">
        <v>138</v>
      </c>
      <c r="H325" t="s">
        <v>479</v>
      </c>
    </row>
    <row r="326" spans="1:8" ht="16" x14ac:dyDescent="0.2">
      <c r="A326" t="s">
        <v>332</v>
      </c>
      <c r="B326" t="s">
        <v>243</v>
      </c>
      <c r="C326" t="s">
        <v>245</v>
      </c>
      <c r="D326" t="s">
        <v>420</v>
      </c>
      <c r="E326">
        <v>4</v>
      </c>
      <c r="F326" t="s">
        <v>1278</v>
      </c>
      <c r="G326" t="s">
        <v>138</v>
      </c>
      <c r="H326" t="s">
        <v>479</v>
      </c>
    </row>
    <row r="327" spans="1:8" ht="16" x14ac:dyDescent="0.2">
      <c r="A327" t="s">
        <v>244</v>
      </c>
      <c r="B327" t="s">
        <v>243</v>
      </c>
      <c r="C327" t="s">
        <v>245</v>
      </c>
      <c r="D327" t="s">
        <v>420</v>
      </c>
      <c r="E327">
        <v>4</v>
      </c>
      <c r="F327" t="s">
        <v>1278</v>
      </c>
      <c r="G327" t="s">
        <v>138</v>
      </c>
      <c r="H327" t="s">
        <v>479</v>
      </c>
    </row>
    <row r="328" spans="1:8" ht="16" x14ac:dyDescent="0.2">
      <c r="A328" t="s">
        <v>1269</v>
      </c>
      <c r="B328" t="s">
        <v>262</v>
      </c>
      <c r="C328" t="s">
        <v>263</v>
      </c>
      <c r="D328" t="s">
        <v>428</v>
      </c>
      <c r="E328">
        <v>1</v>
      </c>
      <c r="F328" t="s">
        <v>1274</v>
      </c>
      <c r="G328" t="s">
        <v>138</v>
      </c>
      <c r="H328" t="s">
        <v>479</v>
      </c>
    </row>
    <row r="329" spans="1:8" ht="16" x14ac:dyDescent="0.2">
      <c r="A329" t="s">
        <v>287</v>
      </c>
      <c r="B329" t="s">
        <v>286</v>
      </c>
      <c r="C329" t="s">
        <v>288</v>
      </c>
      <c r="D329" t="s">
        <v>433</v>
      </c>
      <c r="E329">
        <v>1</v>
      </c>
      <c r="F329" t="s">
        <v>1274</v>
      </c>
      <c r="G329" t="s">
        <v>138</v>
      </c>
      <c r="H329" t="s">
        <v>479</v>
      </c>
    </row>
    <row r="330" spans="1:8" ht="16" x14ac:dyDescent="0.2">
      <c r="A330" t="s">
        <v>338</v>
      </c>
      <c r="B330" t="s">
        <v>286</v>
      </c>
      <c r="C330" t="s">
        <v>339</v>
      </c>
      <c r="D330" t="s">
        <v>454</v>
      </c>
      <c r="E330">
        <v>1</v>
      </c>
      <c r="F330" t="s">
        <v>1274</v>
      </c>
      <c r="G330" t="s">
        <v>138</v>
      </c>
      <c r="H330" t="s">
        <v>479</v>
      </c>
    </row>
    <row r="331" spans="1:8" ht="16" x14ac:dyDescent="0.2">
      <c r="A331" t="s">
        <v>332</v>
      </c>
      <c r="B331" t="s">
        <v>331</v>
      </c>
      <c r="C331" t="s">
        <v>333</v>
      </c>
      <c r="D331" t="s">
        <v>451</v>
      </c>
      <c r="E331">
        <v>1</v>
      </c>
      <c r="F331" t="s">
        <v>1274</v>
      </c>
      <c r="G331" t="s">
        <v>138</v>
      </c>
      <c r="H331" t="s">
        <v>479</v>
      </c>
    </row>
    <row r="332" spans="1:8" ht="16" x14ac:dyDescent="0.2">
      <c r="A332" t="s">
        <v>299</v>
      </c>
      <c r="B332" t="s">
        <v>298</v>
      </c>
      <c r="C332" t="s">
        <v>300</v>
      </c>
      <c r="D332" t="s">
        <v>436</v>
      </c>
      <c r="E332">
        <v>1</v>
      </c>
      <c r="F332" t="s">
        <v>1274</v>
      </c>
      <c r="G332" t="s">
        <v>138</v>
      </c>
      <c r="H332" t="s">
        <v>479</v>
      </c>
    </row>
    <row r="333" spans="1:8" ht="16" x14ac:dyDescent="0.2">
      <c r="A333" t="s">
        <v>378</v>
      </c>
      <c r="B333" t="s">
        <v>377</v>
      </c>
      <c r="C333" t="s">
        <v>379</v>
      </c>
      <c r="D333" t="s">
        <v>467</v>
      </c>
      <c r="E333">
        <v>1</v>
      </c>
      <c r="F333" t="s">
        <v>1274</v>
      </c>
      <c r="G333" t="s">
        <v>138</v>
      </c>
      <c r="H333" t="s">
        <v>479</v>
      </c>
    </row>
    <row r="334" spans="1:8" ht="16" x14ac:dyDescent="0.2">
      <c r="A334" t="s">
        <v>1272</v>
      </c>
      <c r="B334" t="s">
        <v>382</v>
      </c>
      <c r="C334" t="s">
        <v>383</v>
      </c>
      <c r="D334"/>
      <c r="E334">
        <v>1</v>
      </c>
      <c r="F334" t="s">
        <v>1274</v>
      </c>
      <c r="G334" t="s">
        <v>138</v>
      </c>
      <c r="H334" t="s">
        <v>479</v>
      </c>
    </row>
    <row r="335" spans="1:8" ht="16" x14ac:dyDescent="0.2">
      <c r="A335" t="s">
        <v>318</v>
      </c>
      <c r="B335" t="s">
        <v>317</v>
      </c>
      <c r="C335" t="s">
        <v>319</v>
      </c>
      <c r="D335" t="s">
        <v>440</v>
      </c>
      <c r="E335">
        <v>1</v>
      </c>
      <c r="F335" t="s">
        <v>1274</v>
      </c>
      <c r="G335" t="s">
        <v>138</v>
      </c>
      <c r="H335" t="s">
        <v>479</v>
      </c>
    </row>
    <row r="336" spans="1:8" ht="16" x14ac:dyDescent="0.2">
      <c r="A336" t="s">
        <v>325</v>
      </c>
      <c r="B336" t="s">
        <v>324</v>
      </c>
      <c r="C336" t="s">
        <v>326</v>
      </c>
      <c r="D336" t="s">
        <v>449</v>
      </c>
      <c r="E336">
        <v>1</v>
      </c>
      <c r="F336" t="s">
        <v>1274</v>
      </c>
      <c r="G336" t="s">
        <v>138</v>
      </c>
      <c r="H336" t="s">
        <v>479</v>
      </c>
    </row>
    <row r="337" spans="1:8" ht="16" x14ac:dyDescent="0.2">
      <c r="A337" t="s">
        <v>410</v>
      </c>
      <c r="B337" t="s">
        <v>409</v>
      </c>
      <c r="C337" t="s">
        <v>411</v>
      </c>
      <c r="D337" t="s">
        <v>474</v>
      </c>
      <c r="E337">
        <v>1</v>
      </c>
      <c r="F337" t="s">
        <v>1274</v>
      </c>
      <c r="G337" t="s">
        <v>138</v>
      </c>
      <c r="H337" t="s">
        <v>479</v>
      </c>
    </row>
    <row r="338" spans="1:8" ht="16" x14ac:dyDescent="0.2">
      <c r="A338" t="s">
        <v>418</v>
      </c>
      <c r="B338" t="s">
        <v>417</v>
      </c>
      <c r="C338" t="s">
        <v>419</v>
      </c>
      <c r="D338" t="s">
        <v>477</v>
      </c>
      <c r="E338">
        <v>1</v>
      </c>
      <c r="F338" t="s">
        <v>1274</v>
      </c>
      <c r="G338" t="s">
        <v>138</v>
      </c>
      <c r="H338" t="s">
        <v>479</v>
      </c>
    </row>
    <row r="339" spans="1:8" ht="16" x14ac:dyDescent="0.2">
      <c r="A339" t="s">
        <v>332</v>
      </c>
      <c r="B339" t="s">
        <v>336</v>
      </c>
      <c r="C339" t="s">
        <v>337</v>
      </c>
      <c r="D339" t="s">
        <v>453</v>
      </c>
      <c r="E339">
        <v>1</v>
      </c>
      <c r="F339" t="s">
        <v>1274</v>
      </c>
      <c r="G339" t="s">
        <v>138</v>
      </c>
      <c r="H339" t="s">
        <v>479</v>
      </c>
    </row>
    <row r="340" spans="1:8" ht="16" x14ac:dyDescent="0.2">
      <c r="A340" t="s">
        <v>308</v>
      </c>
      <c r="B340" t="s">
        <v>307</v>
      </c>
      <c r="C340" t="s">
        <v>309</v>
      </c>
      <c r="D340" t="s">
        <v>438</v>
      </c>
      <c r="E340">
        <v>1</v>
      </c>
      <c r="F340" t="s">
        <v>1274</v>
      </c>
      <c r="G340" t="s">
        <v>138</v>
      </c>
      <c r="H340" t="s">
        <v>479</v>
      </c>
    </row>
    <row r="341" spans="1:8" ht="16" x14ac:dyDescent="0.2">
      <c r="A341" t="s">
        <v>360</v>
      </c>
      <c r="B341" t="s">
        <v>359</v>
      </c>
      <c r="C341" t="s">
        <v>361</v>
      </c>
      <c r="D341" t="s">
        <v>461</v>
      </c>
      <c r="E341">
        <v>1</v>
      </c>
      <c r="F341" t="s">
        <v>1274</v>
      </c>
      <c r="G341" t="s">
        <v>138</v>
      </c>
      <c r="H341" t="s">
        <v>479</v>
      </c>
    </row>
    <row r="342" spans="1:8" ht="16" x14ac:dyDescent="0.2">
      <c r="A342" t="s">
        <v>311</v>
      </c>
      <c r="B342" t="s">
        <v>310</v>
      </c>
      <c r="C342" t="s">
        <v>312</v>
      </c>
      <c r="D342" t="s">
        <v>439</v>
      </c>
      <c r="E342">
        <v>1</v>
      </c>
      <c r="F342" t="s">
        <v>1274</v>
      </c>
      <c r="G342" t="s">
        <v>138</v>
      </c>
      <c r="H342" t="s">
        <v>479</v>
      </c>
    </row>
    <row r="343" spans="1:8" ht="16" x14ac:dyDescent="0.2">
      <c r="A343" t="s">
        <v>363</v>
      </c>
      <c r="B343" t="s">
        <v>362</v>
      </c>
      <c r="C343" t="s">
        <v>364</v>
      </c>
      <c r="D343" t="s">
        <v>462</v>
      </c>
      <c r="E343">
        <v>1</v>
      </c>
      <c r="F343" t="s">
        <v>1274</v>
      </c>
      <c r="G343" t="s">
        <v>138</v>
      </c>
      <c r="H343" t="s">
        <v>479</v>
      </c>
    </row>
    <row r="344" spans="1:8" ht="16" x14ac:dyDescent="0.2">
      <c r="A344" t="s">
        <v>348</v>
      </c>
      <c r="B344" t="s">
        <v>347</v>
      </c>
      <c r="C344" t="s">
        <v>349</v>
      </c>
      <c r="D344" t="s">
        <v>456</v>
      </c>
      <c r="E344">
        <v>1</v>
      </c>
      <c r="F344" t="s">
        <v>1274</v>
      </c>
      <c r="G344" t="s">
        <v>138</v>
      </c>
      <c r="H344" t="s">
        <v>479</v>
      </c>
    </row>
    <row r="345" spans="1:8" ht="16" x14ac:dyDescent="0.2">
      <c r="A345" t="s">
        <v>267</v>
      </c>
      <c r="B345" t="s">
        <v>266</v>
      </c>
      <c r="C345" t="s">
        <v>269</v>
      </c>
      <c r="D345" t="s">
        <v>463</v>
      </c>
      <c r="E345">
        <v>5</v>
      </c>
      <c r="F345" t="s">
        <v>1277</v>
      </c>
      <c r="G345" t="s">
        <v>138</v>
      </c>
      <c r="H345" t="s">
        <v>479</v>
      </c>
    </row>
    <row r="346" spans="1:8" ht="16" x14ac:dyDescent="0.2">
      <c r="A346" t="s">
        <v>316</v>
      </c>
      <c r="B346" t="s">
        <v>266</v>
      </c>
      <c r="C346" t="s">
        <v>269</v>
      </c>
      <c r="D346" t="s">
        <v>463</v>
      </c>
      <c r="E346">
        <v>5</v>
      </c>
      <c r="F346" t="s">
        <v>1277</v>
      </c>
      <c r="G346" t="s">
        <v>138</v>
      </c>
      <c r="H346" t="s">
        <v>479</v>
      </c>
    </row>
    <row r="347" spans="1:8" ht="16" x14ac:dyDescent="0.2">
      <c r="A347" t="s">
        <v>345</v>
      </c>
      <c r="B347" t="s">
        <v>266</v>
      </c>
      <c r="C347" t="s">
        <v>269</v>
      </c>
      <c r="D347" t="s">
        <v>463</v>
      </c>
      <c r="E347">
        <v>5</v>
      </c>
      <c r="F347" t="s">
        <v>1277</v>
      </c>
      <c r="G347" t="s">
        <v>138</v>
      </c>
      <c r="H347" t="s">
        <v>479</v>
      </c>
    </row>
    <row r="348" spans="1:8" ht="16" x14ac:dyDescent="0.2">
      <c r="A348" t="s">
        <v>404</v>
      </c>
      <c r="B348" t="s">
        <v>266</v>
      </c>
      <c r="C348" t="s">
        <v>269</v>
      </c>
      <c r="D348" t="s">
        <v>463</v>
      </c>
      <c r="E348">
        <v>5</v>
      </c>
      <c r="F348" t="s">
        <v>1277</v>
      </c>
      <c r="G348" t="s">
        <v>138</v>
      </c>
      <c r="H348" t="s">
        <v>479</v>
      </c>
    </row>
    <row r="349" spans="1:8" ht="16" x14ac:dyDescent="0.2">
      <c r="A349" t="s">
        <v>404</v>
      </c>
      <c r="B349" t="s">
        <v>266</v>
      </c>
      <c r="C349" t="s">
        <v>269</v>
      </c>
      <c r="D349" t="s">
        <v>463</v>
      </c>
      <c r="E349">
        <v>5</v>
      </c>
      <c r="F349" t="s">
        <v>1277</v>
      </c>
      <c r="G349" t="s">
        <v>138</v>
      </c>
      <c r="H349" t="s">
        <v>479</v>
      </c>
    </row>
    <row r="350" spans="1:8" ht="16" x14ac:dyDescent="0.2">
      <c r="A350" t="s">
        <v>267</v>
      </c>
      <c r="B350" t="s">
        <v>266</v>
      </c>
      <c r="C350" t="s">
        <v>268</v>
      </c>
      <c r="D350"/>
      <c r="E350">
        <v>5</v>
      </c>
      <c r="F350" t="s">
        <v>1277</v>
      </c>
      <c r="G350" t="s">
        <v>138</v>
      </c>
      <c r="H350" t="s">
        <v>479</v>
      </c>
    </row>
    <row r="351" spans="1:8" ht="16" x14ac:dyDescent="0.2">
      <c r="A351" t="s">
        <v>316</v>
      </c>
      <c r="B351" t="s">
        <v>266</v>
      </c>
      <c r="C351" t="s">
        <v>268</v>
      </c>
      <c r="D351"/>
      <c r="E351">
        <v>5</v>
      </c>
      <c r="F351" t="s">
        <v>1277</v>
      </c>
      <c r="G351" t="s">
        <v>138</v>
      </c>
      <c r="H351" t="s">
        <v>479</v>
      </c>
    </row>
    <row r="352" spans="1:8" ht="16" x14ac:dyDescent="0.2">
      <c r="A352" t="s">
        <v>345</v>
      </c>
      <c r="B352" t="s">
        <v>266</v>
      </c>
      <c r="C352" t="s">
        <v>268</v>
      </c>
      <c r="D352"/>
      <c r="E352">
        <v>5</v>
      </c>
      <c r="F352" t="s">
        <v>1277</v>
      </c>
      <c r="G352" t="s">
        <v>138</v>
      </c>
      <c r="H352" t="s">
        <v>479</v>
      </c>
    </row>
    <row r="353" spans="1:8" ht="16" x14ac:dyDescent="0.2">
      <c r="A353" t="s">
        <v>404</v>
      </c>
      <c r="B353" t="s">
        <v>266</v>
      </c>
      <c r="C353" t="s">
        <v>268</v>
      </c>
      <c r="D353"/>
      <c r="E353">
        <v>5</v>
      </c>
      <c r="F353" t="s">
        <v>1277</v>
      </c>
      <c r="G353" t="s">
        <v>138</v>
      </c>
      <c r="H353" t="s">
        <v>479</v>
      </c>
    </row>
    <row r="354" spans="1:8" ht="16" x14ac:dyDescent="0.2">
      <c r="A354" t="s">
        <v>404</v>
      </c>
      <c r="B354" t="s">
        <v>266</v>
      </c>
      <c r="C354" t="s">
        <v>268</v>
      </c>
      <c r="D354"/>
      <c r="E354">
        <v>5</v>
      </c>
      <c r="F354" t="s">
        <v>1277</v>
      </c>
      <c r="G354" t="s">
        <v>138</v>
      </c>
      <c r="H354" t="s">
        <v>479</v>
      </c>
    </row>
    <row r="355" spans="1:8" ht="16" x14ac:dyDescent="0.2">
      <c r="A355" t="s">
        <v>1280</v>
      </c>
      <c r="B355" t="s">
        <v>264</v>
      </c>
      <c r="C355" t="s">
        <v>265</v>
      </c>
      <c r="D355" t="s">
        <v>441</v>
      </c>
      <c r="E355">
        <v>1</v>
      </c>
      <c r="F355" t="s">
        <v>1274</v>
      </c>
      <c r="G355" t="s">
        <v>138</v>
      </c>
      <c r="H355" t="s">
        <v>479</v>
      </c>
    </row>
    <row r="356" spans="1:8" ht="16" x14ac:dyDescent="0.2">
      <c r="A356" t="s">
        <v>284</v>
      </c>
      <c r="B356" t="s">
        <v>283</v>
      </c>
      <c r="C356" t="s">
        <v>285</v>
      </c>
      <c r="D356" t="s">
        <v>432</v>
      </c>
      <c r="E356">
        <v>1</v>
      </c>
      <c r="F356" t="s">
        <v>1274</v>
      </c>
      <c r="G356" t="s">
        <v>138</v>
      </c>
      <c r="H356" t="s">
        <v>479</v>
      </c>
    </row>
    <row r="357" spans="1:8" ht="16" x14ac:dyDescent="0.2">
      <c r="A357" t="s">
        <v>1268</v>
      </c>
      <c r="B357" t="s">
        <v>259</v>
      </c>
      <c r="C357" t="s">
        <v>260</v>
      </c>
      <c r="D357" t="s">
        <v>426</v>
      </c>
      <c r="E357">
        <v>4</v>
      </c>
      <c r="F357" t="s">
        <v>1278</v>
      </c>
      <c r="G357" t="s">
        <v>138</v>
      </c>
      <c r="H357" t="s">
        <v>479</v>
      </c>
    </row>
    <row r="358" spans="1:8" ht="16" x14ac:dyDescent="0.2">
      <c r="A358" t="s">
        <v>277</v>
      </c>
      <c r="B358" t="s">
        <v>259</v>
      </c>
      <c r="C358" t="s">
        <v>260</v>
      </c>
      <c r="D358" t="s">
        <v>426</v>
      </c>
      <c r="E358">
        <v>4</v>
      </c>
      <c r="F358" t="s">
        <v>1278</v>
      </c>
      <c r="G358" t="s">
        <v>138</v>
      </c>
      <c r="H358" t="s">
        <v>479</v>
      </c>
    </row>
    <row r="359" spans="1:8" ht="16" x14ac:dyDescent="0.2">
      <c r="A359" t="s">
        <v>332</v>
      </c>
      <c r="B359" t="s">
        <v>259</v>
      </c>
      <c r="C359" t="s">
        <v>260</v>
      </c>
      <c r="D359" t="s">
        <v>426</v>
      </c>
      <c r="E359">
        <v>4</v>
      </c>
      <c r="F359" t="s">
        <v>1278</v>
      </c>
      <c r="G359" t="s">
        <v>138</v>
      </c>
      <c r="H359" t="s">
        <v>479</v>
      </c>
    </row>
    <row r="360" spans="1:8" ht="16" x14ac:dyDescent="0.2">
      <c r="A360" t="s">
        <v>280</v>
      </c>
      <c r="B360" t="s">
        <v>259</v>
      </c>
      <c r="C360" t="s">
        <v>260</v>
      </c>
      <c r="D360" t="s">
        <v>426</v>
      </c>
      <c r="E360">
        <v>4</v>
      </c>
      <c r="F360" t="s">
        <v>1278</v>
      </c>
      <c r="G360" t="s">
        <v>138</v>
      </c>
      <c r="H360" t="s">
        <v>479</v>
      </c>
    </row>
    <row r="361" spans="1:8" ht="16" x14ac:dyDescent="0.2">
      <c r="A361" t="s">
        <v>280</v>
      </c>
      <c r="B361" t="s">
        <v>259</v>
      </c>
      <c r="C361" t="s">
        <v>405</v>
      </c>
      <c r="D361" t="s">
        <v>472</v>
      </c>
      <c r="E361">
        <v>1</v>
      </c>
      <c r="F361" t="s">
        <v>1274</v>
      </c>
      <c r="G361" t="s">
        <v>138</v>
      </c>
      <c r="H361" t="s">
        <v>479</v>
      </c>
    </row>
    <row r="362" spans="1:8" ht="16" x14ac:dyDescent="0.2">
      <c r="A362" t="s">
        <v>280</v>
      </c>
      <c r="B362" t="s">
        <v>259</v>
      </c>
      <c r="C362" t="s">
        <v>281</v>
      </c>
      <c r="D362" t="s">
        <v>442</v>
      </c>
      <c r="E362">
        <v>4</v>
      </c>
      <c r="F362" t="s">
        <v>1278</v>
      </c>
      <c r="G362" t="s">
        <v>138</v>
      </c>
      <c r="H362" t="s">
        <v>479</v>
      </c>
    </row>
    <row r="363" spans="1:8" ht="16" x14ac:dyDescent="0.2">
      <c r="A363" t="s">
        <v>280</v>
      </c>
      <c r="B363" t="s">
        <v>259</v>
      </c>
      <c r="C363" t="s">
        <v>281</v>
      </c>
      <c r="D363" t="s">
        <v>442</v>
      </c>
      <c r="E363">
        <v>4</v>
      </c>
      <c r="F363" t="s">
        <v>1278</v>
      </c>
      <c r="G363" t="s">
        <v>138</v>
      </c>
      <c r="H363" t="s">
        <v>479</v>
      </c>
    </row>
    <row r="364" spans="1:8" ht="16" x14ac:dyDescent="0.2">
      <c r="A364" t="s">
        <v>280</v>
      </c>
      <c r="B364" t="s">
        <v>259</v>
      </c>
      <c r="C364" t="s">
        <v>281</v>
      </c>
      <c r="D364" t="s">
        <v>442</v>
      </c>
      <c r="E364">
        <v>4</v>
      </c>
      <c r="F364" t="s">
        <v>1278</v>
      </c>
      <c r="G364" t="s">
        <v>138</v>
      </c>
      <c r="H364" t="s">
        <v>479</v>
      </c>
    </row>
    <row r="365" spans="1:8" ht="16" x14ac:dyDescent="0.2">
      <c r="A365" t="s">
        <v>1271</v>
      </c>
      <c r="B365" t="s">
        <v>259</v>
      </c>
      <c r="C365" t="s">
        <v>281</v>
      </c>
      <c r="D365" t="s">
        <v>442</v>
      </c>
      <c r="E365">
        <v>4</v>
      </c>
      <c r="F365" t="s">
        <v>1278</v>
      </c>
      <c r="G365" t="s">
        <v>138</v>
      </c>
      <c r="H365" t="s">
        <v>479</v>
      </c>
    </row>
    <row r="366" spans="1:8" ht="16" x14ac:dyDescent="0.2">
      <c r="A366" t="s">
        <v>1266</v>
      </c>
      <c r="B366" t="s">
        <v>254</v>
      </c>
      <c r="C366" t="s">
        <v>255</v>
      </c>
      <c r="D366"/>
      <c r="E366">
        <v>1</v>
      </c>
      <c r="F366" t="s">
        <v>1274</v>
      </c>
      <c r="G366" t="s">
        <v>138</v>
      </c>
      <c r="H366" t="s">
        <v>479</v>
      </c>
    </row>
    <row r="367" spans="1:8" ht="16" x14ac:dyDescent="0.2">
      <c r="A367" t="s">
        <v>784</v>
      </c>
      <c r="B367" t="s">
        <v>257</v>
      </c>
      <c r="C367" t="s">
        <v>258</v>
      </c>
      <c r="D367" t="s">
        <v>425</v>
      </c>
      <c r="E367">
        <v>1</v>
      </c>
      <c r="F367" t="s">
        <v>1274</v>
      </c>
      <c r="G367" t="s">
        <v>138</v>
      </c>
      <c r="H367" t="s">
        <v>479</v>
      </c>
    </row>
    <row r="368" spans="1:8" ht="16" x14ac:dyDescent="0.2">
      <c r="A368" t="s">
        <v>351</v>
      </c>
      <c r="B368" t="s">
        <v>350</v>
      </c>
      <c r="C368" t="s">
        <v>352</v>
      </c>
      <c r="D368" t="s">
        <v>457</v>
      </c>
      <c r="E368">
        <v>1</v>
      </c>
      <c r="F368" t="s">
        <v>1274</v>
      </c>
      <c r="G368" t="s">
        <v>138</v>
      </c>
      <c r="H368" t="s">
        <v>479</v>
      </c>
    </row>
    <row r="369" spans="1:8" ht="16" x14ac:dyDescent="0.2">
      <c r="A369" t="s">
        <v>272</v>
      </c>
      <c r="B369" t="s">
        <v>271</v>
      </c>
      <c r="C369" t="s">
        <v>273</v>
      </c>
      <c r="D369" t="s">
        <v>430</v>
      </c>
      <c r="E369">
        <v>1</v>
      </c>
      <c r="F369" t="s">
        <v>1274</v>
      </c>
      <c r="G369" t="s">
        <v>138</v>
      </c>
      <c r="H369" t="s">
        <v>479</v>
      </c>
    </row>
    <row r="370" spans="1:8" ht="16" x14ac:dyDescent="0.2">
      <c r="A370" t="s">
        <v>275</v>
      </c>
      <c r="B370" t="s">
        <v>274</v>
      </c>
      <c r="C370" t="s">
        <v>276</v>
      </c>
      <c r="D370" t="s">
        <v>431</v>
      </c>
      <c r="E370">
        <v>1</v>
      </c>
      <c r="F370" t="s">
        <v>1274</v>
      </c>
      <c r="G370" t="s">
        <v>138</v>
      </c>
      <c r="H370" t="s">
        <v>479</v>
      </c>
    </row>
    <row r="371" spans="1:8" ht="16" x14ac:dyDescent="0.2">
      <c r="A371" t="s">
        <v>385</v>
      </c>
      <c r="B371" t="s">
        <v>384</v>
      </c>
      <c r="C371" t="s">
        <v>386</v>
      </c>
      <c r="D371" t="s">
        <v>468</v>
      </c>
      <c r="E371">
        <v>1</v>
      </c>
      <c r="F371" t="s">
        <v>1274</v>
      </c>
      <c r="G371" t="s">
        <v>138</v>
      </c>
      <c r="H371" t="s">
        <v>479</v>
      </c>
    </row>
    <row r="372" spans="1:8" ht="16" x14ac:dyDescent="0.2">
      <c r="A372" t="s">
        <v>296</v>
      </c>
      <c r="B372" t="s">
        <v>295</v>
      </c>
      <c r="C372" t="s">
        <v>297</v>
      </c>
      <c r="D372" t="s">
        <v>435</v>
      </c>
      <c r="E372">
        <v>2</v>
      </c>
      <c r="F372" t="s">
        <v>1276</v>
      </c>
      <c r="G372" t="s">
        <v>138</v>
      </c>
      <c r="H372" t="s">
        <v>479</v>
      </c>
    </row>
    <row r="373" spans="1:8" ht="16" x14ac:dyDescent="0.2">
      <c r="A373" t="s">
        <v>400</v>
      </c>
      <c r="B373" t="s">
        <v>295</v>
      </c>
      <c r="C373" t="s">
        <v>297</v>
      </c>
      <c r="D373" t="s">
        <v>435</v>
      </c>
      <c r="E373">
        <v>2</v>
      </c>
      <c r="F373" t="s">
        <v>1276</v>
      </c>
      <c r="G373" t="s">
        <v>138</v>
      </c>
      <c r="H373" t="s">
        <v>479</v>
      </c>
    </row>
    <row r="374" spans="1:8" ht="16" x14ac:dyDescent="0.2">
      <c r="A374" t="s">
        <v>305</v>
      </c>
      <c r="B374" t="s">
        <v>304</v>
      </c>
      <c r="C374" t="s">
        <v>306</v>
      </c>
      <c r="D374" t="s">
        <v>445</v>
      </c>
      <c r="E374">
        <v>1</v>
      </c>
      <c r="F374" t="s">
        <v>1274</v>
      </c>
      <c r="G374" t="s">
        <v>138</v>
      </c>
      <c r="H374" t="s">
        <v>479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9C85-DFDE-8D42-AC22-699FAF82FA43}">
  <dimension ref="A1:J13"/>
  <sheetViews>
    <sheetView workbookViewId="0">
      <selection activeCell="C10" sqref="C10"/>
    </sheetView>
  </sheetViews>
  <sheetFormatPr baseColWidth="10" defaultRowHeight="16" x14ac:dyDescent="0.2"/>
  <cols>
    <col min="1" max="1" width="26.5" customWidth="1"/>
    <col min="3" max="3" width="39.6640625" bestFit="1" customWidth="1"/>
    <col min="4" max="4" width="19.33203125" bestFit="1" customWidth="1"/>
    <col min="5" max="5" width="17" style="8" bestFit="1" customWidth="1"/>
    <col min="6" max="6" width="12.5" bestFit="1" customWidth="1"/>
    <col min="7" max="7" width="11.83203125" bestFit="1" customWidth="1"/>
    <col min="8" max="8" width="8.33203125" bestFit="1" customWidth="1"/>
  </cols>
  <sheetData>
    <row r="1" spans="1:10" x14ac:dyDescent="0.2">
      <c r="A1" s="2" t="s">
        <v>1281</v>
      </c>
      <c r="B1" s="2" t="s">
        <v>71</v>
      </c>
      <c r="C1" s="2" t="s">
        <v>45</v>
      </c>
      <c r="D1" s="3" t="s">
        <v>46</v>
      </c>
      <c r="E1" s="7" t="s">
        <v>69</v>
      </c>
      <c r="F1" s="2" t="s">
        <v>68</v>
      </c>
      <c r="G1" s="2" t="s">
        <v>47</v>
      </c>
      <c r="H1" s="2" t="s">
        <v>70</v>
      </c>
    </row>
    <row r="2" spans="1:10" x14ac:dyDescent="0.2">
      <c r="A2" s="4" t="s">
        <v>74</v>
      </c>
      <c r="B2" s="4" t="s">
        <v>124</v>
      </c>
      <c r="C2" s="4" t="s">
        <v>73</v>
      </c>
      <c r="D2" s="4" t="s">
        <v>128</v>
      </c>
      <c r="E2" s="4">
        <v>3.937007874015748E-3</v>
      </c>
      <c r="F2" s="4">
        <v>1</v>
      </c>
      <c r="G2" s="4" t="s">
        <v>100</v>
      </c>
      <c r="H2" s="4" t="s">
        <v>67</v>
      </c>
      <c r="I2" s="4"/>
      <c r="J2" s="4"/>
    </row>
    <row r="3" spans="1:10" x14ac:dyDescent="0.2">
      <c r="A3" s="4" t="s">
        <v>77</v>
      </c>
      <c r="B3" s="4" t="s">
        <v>75</v>
      </c>
      <c r="C3" s="4" t="s">
        <v>76</v>
      </c>
      <c r="D3" s="4"/>
      <c r="E3" s="4">
        <v>3.937007874015748E-3</v>
      </c>
      <c r="F3" s="4">
        <v>1</v>
      </c>
      <c r="G3" s="4" t="s">
        <v>100</v>
      </c>
      <c r="H3" s="4" t="s">
        <v>67</v>
      </c>
      <c r="I3" s="4"/>
      <c r="J3" s="4"/>
    </row>
    <row r="4" spans="1:10" x14ac:dyDescent="0.2">
      <c r="A4" s="4" t="s">
        <v>77</v>
      </c>
      <c r="B4" s="4" t="s">
        <v>75</v>
      </c>
      <c r="C4" s="4" t="s">
        <v>78</v>
      </c>
      <c r="D4" s="4" t="s">
        <v>129</v>
      </c>
      <c r="E4" s="4">
        <v>3.937007874015748E-3</v>
      </c>
      <c r="F4" s="4">
        <v>1</v>
      </c>
      <c r="G4" s="4" t="s">
        <v>100</v>
      </c>
      <c r="H4" s="4" t="s">
        <v>67</v>
      </c>
      <c r="I4" s="4"/>
      <c r="J4" s="4"/>
    </row>
    <row r="5" spans="1:10" x14ac:dyDescent="0.2">
      <c r="A5" s="4" t="s">
        <v>81</v>
      </c>
      <c r="B5" s="4" t="s">
        <v>79</v>
      </c>
      <c r="C5" s="4" t="s">
        <v>80</v>
      </c>
      <c r="D5" s="4"/>
      <c r="E5" s="4">
        <v>3.937007874015748E-3</v>
      </c>
      <c r="F5" s="4">
        <v>1</v>
      </c>
      <c r="G5" s="4" t="s">
        <v>100</v>
      </c>
      <c r="H5" s="4" t="s">
        <v>67</v>
      </c>
      <c r="I5" s="4"/>
      <c r="J5" s="4"/>
    </row>
    <row r="6" spans="1:10" x14ac:dyDescent="0.2">
      <c r="A6" s="4" t="s">
        <v>84</v>
      </c>
      <c r="B6" s="4" t="s">
        <v>82</v>
      </c>
      <c r="C6" s="4" t="s">
        <v>83</v>
      </c>
      <c r="D6" s="4" t="s">
        <v>130</v>
      </c>
      <c r="E6" s="4">
        <v>3.937007874015748E-3</v>
      </c>
      <c r="F6" s="4">
        <v>1</v>
      </c>
      <c r="G6" s="4" t="s">
        <v>100</v>
      </c>
      <c r="H6" s="4" t="s">
        <v>67</v>
      </c>
      <c r="I6" s="4"/>
      <c r="J6" s="4"/>
    </row>
    <row r="7" spans="1:10" x14ac:dyDescent="0.2">
      <c r="A7" s="4" t="s">
        <v>87</v>
      </c>
      <c r="B7" s="4" t="s">
        <v>85</v>
      </c>
      <c r="C7" s="4" t="s">
        <v>86</v>
      </c>
      <c r="D7" s="4" t="s">
        <v>131</v>
      </c>
      <c r="E7" s="4">
        <v>3.937007874015748E-3</v>
      </c>
      <c r="F7" s="4">
        <v>1</v>
      </c>
      <c r="G7" s="4" t="s">
        <v>100</v>
      </c>
      <c r="H7" s="4" t="s">
        <v>67</v>
      </c>
      <c r="I7" s="4"/>
      <c r="J7" s="4"/>
    </row>
    <row r="8" spans="1:10" x14ac:dyDescent="0.2">
      <c r="A8" s="4" t="s">
        <v>90</v>
      </c>
      <c r="B8" s="4" t="s">
        <v>88</v>
      </c>
      <c r="C8" s="4" t="s">
        <v>89</v>
      </c>
      <c r="D8" s="4" t="s">
        <v>132</v>
      </c>
      <c r="E8" s="4">
        <v>3.937007874015748E-3</v>
      </c>
      <c r="F8" s="4">
        <v>1</v>
      </c>
      <c r="G8" s="4" t="s">
        <v>100</v>
      </c>
      <c r="H8" s="4" t="s">
        <v>67</v>
      </c>
      <c r="I8" s="4"/>
      <c r="J8" s="4"/>
    </row>
    <row r="9" spans="1:10" x14ac:dyDescent="0.2">
      <c r="A9" s="4" t="s">
        <v>93</v>
      </c>
      <c r="B9" s="4" t="s">
        <v>91</v>
      </c>
      <c r="C9" s="4" t="s">
        <v>92</v>
      </c>
      <c r="D9" s="4" t="s">
        <v>133</v>
      </c>
      <c r="E9" s="4">
        <v>3.937007874015748E-3</v>
      </c>
      <c r="F9" s="4">
        <v>1</v>
      </c>
      <c r="G9" s="4" t="s">
        <v>100</v>
      </c>
      <c r="H9" s="4" t="s">
        <v>67</v>
      </c>
      <c r="I9" s="4"/>
      <c r="J9" s="4"/>
    </row>
    <row r="10" spans="1:10" x14ac:dyDescent="0.2">
      <c r="A10" s="4" t="s">
        <v>93</v>
      </c>
      <c r="B10" s="4" t="s">
        <v>91</v>
      </c>
      <c r="C10" s="4" t="s">
        <v>94</v>
      </c>
      <c r="D10" s="4" t="s">
        <v>134</v>
      </c>
      <c r="E10" s="4">
        <v>3.937007874015748E-3</v>
      </c>
      <c r="F10" s="4">
        <v>1</v>
      </c>
      <c r="G10" s="4" t="s">
        <v>100</v>
      </c>
      <c r="H10" s="4" t="s">
        <v>67</v>
      </c>
      <c r="I10" s="4"/>
      <c r="J10" s="4"/>
    </row>
    <row r="11" spans="1:10" x14ac:dyDescent="0.2">
      <c r="A11" s="4" t="s">
        <v>93</v>
      </c>
      <c r="B11" s="4" t="s">
        <v>91</v>
      </c>
      <c r="C11" s="4" t="s">
        <v>95</v>
      </c>
      <c r="D11" s="4" t="s">
        <v>135</v>
      </c>
      <c r="E11" s="4">
        <v>3.937007874015748E-3</v>
      </c>
      <c r="F11" s="4">
        <v>1</v>
      </c>
      <c r="G11" s="4" t="s">
        <v>100</v>
      </c>
      <c r="H11" s="4" t="s">
        <v>67</v>
      </c>
      <c r="I11" s="4"/>
      <c r="J11" s="4"/>
    </row>
    <row r="12" spans="1:10" x14ac:dyDescent="0.2">
      <c r="A12" s="4" t="s">
        <v>93</v>
      </c>
      <c r="B12" s="4" t="s">
        <v>91</v>
      </c>
      <c r="C12" s="4" t="s">
        <v>96</v>
      </c>
      <c r="D12" s="4" t="s">
        <v>136</v>
      </c>
      <c r="E12" s="4">
        <v>3.937007874015748E-3</v>
      </c>
      <c r="F12" s="4">
        <v>1</v>
      </c>
      <c r="G12" s="4" t="s">
        <v>100</v>
      </c>
      <c r="H12" s="4" t="s">
        <v>67</v>
      </c>
      <c r="I12" s="4"/>
      <c r="J12" s="4"/>
    </row>
    <row r="13" spans="1:10" x14ac:dyDescent="0.2">
      <c r="A13" s="4" t="s">
        <v>93</v>
      </c>
      <c r="B13" s="4" t="s">
        <v>97</v>
      </c>
      <c r="C13" s="4" t="s">
        <v>98</v>
      </c>
      <c r="D13" s="4" t="s">
        <v>137</v>
      </c>
      <c r="E13" s="4">
        <v>3.937007874015748E-3</v>
      </c>
      <c r="F13" s="4">
        <v>1</v>
      </c>
      <c r="G13" s="4" t="s">
        <v>100</v>
      </c>
      <c r="H13" s="4" t="s">
        <v>67</v>
      </c>
      <c r="I13" s="4"/>
      <c r="J13" s="4"/>
    </row>
  </sheetData>
  <hyperlinks>
    <hyperlink ref="B3" r:id="rId1" display="http://ncbi-n:NM_000060.2/" xr:uid="{D6F0BCBD-E834-B145-8653-963096D4351F}"/>
    <hyperlink ref="B5" r:id="rId2" display="http://ncbi-n:NM_002389.4/" xr:uid="{01266BD1-FFE6-554C-AE34-F6FFC7486E3E}"/>
    <hyperlink ref="B6" r:id="rId3" display="http://ncbi-n:NM_000501.3/" xr:uid="{B6C8E786-A2DB-F04C-9FD6-9DFD0690F5EF}"/>
    <hyperlink ref="B7" r:id="rId4" display="http://ncbi-n:NM_004700.3/" xr:uid="{19D86AC2-D4CF-0840-A019-CBBAB9CF2DD1}"/>
    <hyperlink ref="B8" r:id="rId5" display="http://ncbi-n:NM_000256.3/" xr:uid="{AE10FB54-1976-D94A-B7E5-265A2A117B40}"/>
    <hyperlink ref="B9" r:id="rId6" display="http://ncbi-n:NM_133378.4/" xr:uid="{0ED6CD8F-060D-8F4C-8A0F-F5DB8E522B0F}"/>
    <hyperlink ref="B10" r:id="rId7" display="http://ncbi-n:NM_133432.3/" xr:uid="{2F1CF062-A818-E248-B9C7-5B5366DC751C}"/>
    <hyperlink ref="B11" r:id="rId8" display="http://ncbi-n:NM_133378.4/" xr:uid="{12FC1DC8-C286-F645-A0EF-8831F7F98E78}"/>
    <hyperlink ref="B12" r:id="rId9" display="http://ncbi-n:NM_133378.4/" xr:uid="{15F6248F-D3E8-1244-8DDD-635096D90F40}"/>
    <hyperlink ref="B13" r:id="rId10" display="http://ncbi-n:NM_014000.2/" xr:uid="{2F8ECFD8-A480-E84F-9DBB-67C5B1623881}"/>
    <hyperlink ref="B4" r:id="rId11" display="http://ncbi-n:NM_000060.2/" xr:uid="{D6AC6B2A-76D6-524E-A014-A9F0A2828EEC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345E-56C8-364A-8BB7-7E4710B06944}">
  <dimension ref="A1:I9"/>
  <sheetViews>
    <sheetView workbookViewId="0">
      <selection activeCell="A6" sqref="A6"/>
    </sheetView>
  </sheetViews>
  <sheetFormatPr baseColWidth="10" defaultRowHeight="22" x14ac:dyDescent="0.25"/>
  <cols>
    <col min="1" max="1" width="41.6640625" style="6" customWidth="1"/>
    <col min="2" max="2" width="10.83203125" style="6"/>
    <col min="3" max="3" width="23.5" style="6" bestFit="1" customWidth="1"/>
    <col min="4" max="4" width="17.1640625" style="6" bestFit="1" customWidth="1"/>
    <col min="5" max="5" width="23.5" style="6" bestFit="1" customWidth="1"/>
    <col min="6" max="6" width="17.33203125" style="6" bestFit="1" customWidth="1"/>
    <col min="7" max="8" width="10.83203125" style="6"/>
    <col min="9" max="9" width="10.83203125" style="6" customWidth="1"/>
  </cols>
  <sheetData>
    <row r="1" spans="1:9" s="11" customFormat="1" x14ac:dyDescent="0.25">
      <c r="A1" s="12" t="s">
        <v>1281</v>
      </c>
      <c r="B1" s="5" t="s">
        <v>71</v>
      </c>
      <c r="C1" s="5" t="s">
        <v>72</v>
      </c>
      <c r="D1" s="5" t="s">
        <v>46</v>
      </c>
      <c r="E1" s="5" t="s">
        <v>68</v>
      </c>
      <c r="F1" s="5" t="s">
        <v>99</v>
      </c>
      <c r="G1" s="5" t="s">
        <v>47</v>
      </c>
      <c r="H1" s="5" t="s">
        <v>70</v>
      </c>
      <c r="I1" s="5"/>
    </row>
    <row r="2" spans="1:9" x14ac:dyDescent="0.25">
      <c r="A2" s="6" t="s">
        <v>102</v>
      </c>
      <c r="B2" s="6" t="s">
        <v>101</v>
      </c>
      <c r="C2" s="6" t="s">
        <v>103</v>
      </c>
      <c r="D2" s="6" t="s">
        <v>104</v>
      </c>
      <c r="E2" s="6">
        <v>1</v>
      </c>
      <c r="F2" s="6">
        <v>8.1967213114754103E-3</v>
      </c>
      <c r="G2" s="6" t="s">
        <v>138</v>
      </c>
      <c r="H2" s="6" t="s">
        <v>67</v>
      </c>
    </row>
    <row r="3" spans="1:9" x14ac:dyDescent="0.25">
      <c r="A3" s="6" t="s">
        <v>106</v>
      </c>
      <c r="B3" s="6" t="s">
        <v>105</v>
      </c>
      <c r="C3" s="6" t="s">
        <v>107</v>
      </c>
      <c r="D3" s="6" t="s">
        <v>108</v>
      </c>
      <c r="E3" s="6">
        <v>1</v>
      </c>
      <c r="F3" s="6">
        <v>8.1967213114754103E-3</v>
      </c>
      <c r="G3" s="6" t="s">
        <v>138</v>
      </c>
      <c r="H3" s="6" t="s">
        <v>67</v>
      </c>
    </row>
    <row r="4" spans="1:9" x14ac:dyDescent="0.25">
      <c r="A4" s="6" t="s">
        <v>110</v>
      </c>
      <c r="B4" s="6" t="s">
        <v>109</v>
      </c>
      <c r="C4" s="6" t="s">
        <v>111</v>
      </c>
      <c r="D4" s="6" t="s">
        <v>112</v>
      </c>
      <c r="E4" s="6">
        <v>1</v>
      </c>
      <c r="F4" s="6">
        <v>8.1967213114754103E-3</v>
      </c>
      <c r="G4" s="6" t="s">
        <v>138</v>
      </c>
      <c r="H4" s="6" t="s">
        <v>67</v>
      </c>
    </row>
    <row r="5" spans="1:9" x14ac:dyDescent="0.25">
      <c r="A5" s="6" t="s">
        <v>110</v>
      </c>
      <c r="B5" s="6" t="s">
        <v>109</v>
      </c>
      <c r="C5" s="6" t="s">
        <v>113</v>
      </c>
      <c r="D5" s="6" t="s">
        <v>114</v>
      </c>
      <c r="E5" s="6">
        <v>1</v>
      </c>
      <c r="F5" s="6">
        <v>8.1967213114754103E-3</v>
      </c>
      <c r="G5" s="6" t="s">
        <v>138</v>
      </c>
      <c r="H5" s="6" t="s">
        <v>67</v>
      </c>
    </row>
    <row r="6" spans="1:9" x14ac:dyDescent="0.25">
      <c r="A6" s="6" t="s">
        <v>116</v>
      </c>
      <c r="B6" s="6" t="s">
        <v>115</v>
      </c>
      <c r="C6" s="6" t="s">
        <v>117</v>
      </c>
      <c r="E6" s="6">
        <v>1</v>
      </c>
      <c r="F6" s="6">
        <v>8.1967213114754103E-3</v>
      </c>
      <c r="G6" s="6" t="s">
        <v>138</v>
      </c>
      <c r="H6" s="6" t="s">
        <v>67</v>
      </c>
    </row>
    <row r="7" spans="1:9" x14ac:dyDescent="0.25">
      <c r="A7" s="6" t="s">
        <v>119</v>
      </c>
      <c r="B7" s="6" t="s">
        <v>118</v>
      </c>
      <c r="C7" s="6" t="s">
        <v>120</v>
      </c>
      <c r="D7" s="6" t="s">
        <v>127</v>
      </c>
      <c r="E7" s="6">
        <v>1</v>
      </c>
      <c r="F7" s="6">
        <v>8.1967213114754103E-3</v>
      </c>
      <c r="G7" s="6" t="s">
        <v>138</v>
      </c>
      <c r="H7" s="6" t="s">
        <v>67</v>
      </c>
    </row>
    <row r="8" spans="1:9" x14ac:dyDescent="0.25">
      <c r="A8" s="6" t="s">
        <v>122</v>
      </c>
      <c r="B8" s="6" t="s">
        <v>121</v>
      </c>
      <c r="C8" s="6" t="s">
        <v>123</v>
      </c>
      <c r="E8" s="6">
        <v>1</v>
      </c>
      <c r="F8" s="6">
        <v>8.1967213114754103E-3</v>
      </c>
      <c r="G8" s="6" t="s">
        <v>138</v>
      </c>
      <c r="H8" s="6" t="s">
        <v>67</v>
      </c>
    </row>
    <row r="9" spans="1:9" x14ac:dyDescent="0.25">
      <c r="A9" s="6" t="s">
        <v>74</v>
      </c>
      <c r="B9" s="6" t="s">
        <v>124</v>
      </c>
      <c r="C9" s="6" t="s">
        <v>125</v>
      </c>
      <c r="D9" s="6" t="s">
        <v>126</v>
      </c>
      <c r="E9" s="6">
        <v>1</v>
      </c>
      <c r="F9" s="6">
        <v>8.1967213114754103E-3</v>
      </c>
      <c r="G9" s="6" t="s">
        <v>138</v>
      </c>
      <c r="H9" s="6" t="s">
        <v>67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B2B2-2B95-D645-8F4E-617ACF541638}">
  <dimension ref="A1:H38"/>
  <sheetViews>
    <sheetView workbookViewId="0">
      <selection activeCell="D41" sqref="D41"/>
    </sheetView>
  </sheetViews>
  <sheetFormatPr baseColWidth="10" defaultRowHeight="16" x14ac:dyDescent="0.2"/>
  <cols>
    <col min="1" max="1" width="40.6640625" customWidth="1"/>
    <col min="6" max="6" width="16" bestFit="1" customWidth="1"/>
  </cols>
  <sheetData>
    <row r="1" spans="1:8" x14ac:dyDescent="0.2">
      <c r="A1" s="9" t="s">
        <v>1281</v>
      </c>
      <c r="B1" s="9" t="s">
        <v>71</v>
      </c>
      <c r="C1" s="9" t="s">
        <v>45</v>
      </c>
      <c r="D1" s="9" t="s">
        <v>46</v>
      </c>
      <c r="E1" s="9" t="s">
        <v>1264</v>
      </c>
      <c r="F1" s="9" t="s">
        <v>1265</v>
      </c>
      <c r="G1" s="9" t="s">
        <v>47</v>
      </c>
      <c r="H1" s="9" t="s">
        <v>70</v>
      </c>
    </row>
    <row r="2" spans="1:8" x14ac:dyDescent="0.2">
      <c r="A2" s="10" t="s">
        <v>139</v>
      </c>
      <c r="B2" s="10" t="s">
        <v>2</v>
      </c>
      <c r="C2" s="10" t="s">
        <v>140</v>
      </c>
      <c r="D2" s="10" t="s">
        <v>141</v>
      </c>
      <c r="E2" s="10">
        <v>92</v>
      </c>
      <c r="F2" s="10">
        <v>2.3E-2</v>
      </c>
      <c r="G2" s="10" t="s">
        <v>241</v>
      </c>
      <c r="H2" s="10" t="s">
        <v>242</v>
      </c>
    </row>
    <row r="3" spans="1:8" x14ac:dyDescent="0.2">
      <c r="A3" s="10" t="s">
        <v>139</v>
      </c>
      <c r="B3" s="10" t="s">
        <v>2</v>
      </c>
      <c r="C3" s="10" t="s">
        <v>142</v>
      </c>
      <c r="D3" s="10" t="s">
        <v>143</v>
      </c>
      <c r="E3" s="10">
        <v>92</v>
      </c>
      <c r="F3" s="10">
        <v>2.3E-2</v>
      </c>
      <c r="G3" s="10" t="s">
        <v>241</v>
      </c>
      <c r="H3" s="10" t="s">
        <v>242</v>
      </c>
    </row>
    <row r="4" spans="1:8" x14ac:dyDescent="0.2">
      <c r="A4" s="10" t="s">
        <v>139</v>
      </c>
      <c r="B4" s="10" t="s">
        <v>2</v>
      </c>
      <c r="C4" s="10" t="s">
        <v>144</v>
      </c>
      <c r="D4" s="10" t="s">
        <v>145</v>
      </c>
      <c r="E4" s="10">
        <v>92</v>
      </c>
      <c r="F4" s="10">
        <v>2.3E-2</v>
      </c>
      <c r="G4" s="10" t="s">
        <v>241</v>
      </c>
      <c r="H4" s="10" t="s">
        <v>242</v>
      </c>
    </row>
    <row r="5" spans="1:8" x14ac:dyDescent="0.2">
      <c r="A5" s="10" t="s">
        <v>139</v>
      </c>
      <c r="B5" s="10" t="s">
        <v>2</v>
      </c>
      <c r="C5" s="10" t="s">
        <v>146</v>
      </c>
      <c r="D5" s="10" t="s">
        <v>147</v>
      </c>
      <c r="E5" s="10">
        <v>92</v>
      </c>
      <c r="F5" s="10">
        <v>2.3E-2</v>
      </c>
      <c r="G5" s="10" t="s">
        <v>241</v>
      </c>
      <c r="H5" s="10" t="s">
        <v>242</v>
      </c>
    </row>
    <row r="6" spans="1:8" x14ac:dyDescent="0.2">
      <c r="A6" s="10" t="s">
        <v>139</v>
      </c>
      <c r="B6" s="10" t="s">
        <v>2</v>
      </c>
      <c r="C6" s="10" t="s">
        <v>148</v>
      </c>
      <c r="D6" s="10" t="s">
        <v>149</v>
      </c>
      <c r="E6" s="10">
        <v>92</v>
      </c>
      <c r="F6" s="10">
        <v>2.3E-2</v>
      </c>
      <c r="G6" s="10" t="s">
        <v>241</v>
      </c>
      <c r="H6" s="10" t="s">
        <v>242</v>
      </c>
    </row>
    <row r="7" spans="1:8" x14ac:dyDescent="0.2">
      <c r="A7" s="10" t="s">
        <v>139</v>
      </c>
      <c r="B7" s="10" t="s">
        <v>2</v>
      </c>
      <c r="C7" s="10" t="s">
        <v>150</v>
      </c>
      <c r="D7" s="10" t="s">
        <v>151</v>
      </c>
      <c r="E7" s="10">
        <v>92</v>
      </c>
      <c r="F7" s="10">
        <v>2.3E-2</v>
      </c>
      <c r="G7" s="10" t="s">
        <v>241</v>
      </c>
      <c r="H7" s="10" t="s">
        <v>242</v>
      </c>
    </row>
    <row r="8" spans="1:8" x14ac:dyDescent="0.2">
      <c r="A8" s="10" t="s">
        <v>139</v>
      </c>
      <c r="B8" s="10" t="s">
        <v>2</v>
      </c>
      <c r="C8" s="10" t="s">
        <v>152</v>
      </c>
      <c r="D8" s="10" t="s">
        <v>153</v>
      </c>
      <c r="E8" s="10">
        <v>92</v>
      </c>
      <c r="F8" s="10">
        <v>2.3E-2</v>
      </c>
      <c r="G8" s="10" t="s">
        <v>241</v>
      </c>
      <c r="H8" s="10" t="s">
        <v>242</v>
      </c>
    </row>
    <row r="9" spans="1:8" x14ac:dyDescent="0.2">
      <c r="A9" s="10" t="s">
        <v>139</v>
      </c>
      <c r="B9" s="10" t="s">
        <v>2</v>
      </c>
      <c r="C9" s="10" t="s">
        <v>154</v>
      </c>
      <c r="D9" s="10" t="s">
        <v>155</v>
      </c>
      <c r="E9" s="10">
        <v>92</v>
      </c>
      <c r="F9" s="10">
        <v>2.3E-2</v>
      </c>
      <c r="G9" s="10" t="s">
        <v>241</v>
      </c>
      <c r="H9" s="10" t="s">
        <v>242</v>
      </c>
    </row>
    <row r="10" spans="1:8" x14ac:dyDescent="0.2">
      <c r="A10" s="10" t="s">
        <v>139</v>
      </c>
      <c r="B10" s="10" t="s">
        <v>2</v>
      </c>
      <c r="C10" s="10" t="s">
        <v>156</v>
      </c>
      <c r="D10" s="10" t="s">
        <v>157</v>
      </c>
      <c r="E10" s="10">
        <v>92</v>
      </c>
      <c r="F10" s="10">
        <v>2.3E-2</v>
      </c>
      <c r="G10" s="10" t="s">
        <v>241</v>
      </c>
      <c r="H10" s="10" t="s">
        <v>242</v>
      </c>
    </row>
    <row r="11" spans="1:8" x14ac:dyDescent="0.2">
      <c r="A11" s="10" t="s">
        <v>139</v>
      </c>
      <c r="B11" s="10" t="s">
        <v>2</v>
      </c>
      <c r="C11" s="10" t="s">
        <v>158</v>
      </c>
      <c r="D11" s="10" t="s">
        <v>159</v>
      </c>
      <c r="E11" s="10">
        <v>92</v>
      </c>
      <c r="F11" s="10">
        <v>2.3E-2</v>
      </c>
      <c r="G11" s="10" t="s">
        <v>241</v>
      </c>
      <c r="H11" s="10" t="s">
        <v>242</v>
      </c>
    </row>
    <row r="12" spans="1:8" x14ac:dyDescent="0.2">
      <c r="A12" s="10" t="s">
        <v>139</v>
      </c>
      <c r="B12" s="10" t="s">
        <v>2</v>
      </c>
      <c r="C12" s="10" t="s">
        <v>160</v>
      </c>
      <c r="D12" s="10" t="s">
        <v>161</v>
      </c>
      <c r="E12" s="10">
        <v>92</v>
      </c>
      <c r="F12" s="10">
        <v>2.3E-2</v>
      </c>
      <c r="G12" s="10" t="s">
        <v>241</v>
      </c>
      <c r="H12" s="10" t="s">
        <v>242</v>
      </c>
    </row>
    <row r="13" spans="1:8" x14ac:dyDescent="0.2">
      <c r="A13" s="10" t="s">
        <v>163</v>
      </c>
      <c r="B13" s="10" t="s">
        <v>162</v>
      </c>
      <c r="C13" s="10" t="s">
        <v>164</v>
      </c>
      <c r="D13" s="10" t="s">
        <v>165</v>
      </c>
      <c r="E13" s="10">
        <v>1</v>
      </c>
      <c r="F13" s="10">
        <v>2.5000000000000001E-4</v>
      </c>
      <c r="G13" s="10" t="s">
        <v>241</v>
      </c>
      <c r="H13" s="10" t="s">
        <v>242</v>
      </c>
    </row>
    <row r="14" spans="1:8" x14ac:dyDescent="0.2">
      <c r="A14" s="10" t="s">
        <v>166</v>
      </c>
      <c r="B14" s="10" t="s">
        <v>162</v>
      </c>
      <c r="C14" s="10" t="s">
        <v>167</v>
      </c>
      <c r="D14" s="10" t="s">
        <v>168</v>
      </c>
      <c r="E14" s="10">
        <v>1</v>
      </c>
      <c r="F14" s="10">
        <v>2.5000000000000001E-4</v>
      </c>
      <c r="G14" s="10" t="s">
        <v>241</v>
      </c>
      <c r="H14" s="10" t="s">
        <v>242</v>
      </c>
    </row>
    <row r="15" spans="1:8" x14ac:dyDescent="0.2">
      <c r="A15" s="10" t="s">
        <v>170</v>
      </c>
      <c r="B15" s="10" t="s">
        <v>169</v>
      </c>
      <c r="C15" s="10" t="s">
        <v>171</v>
      </c>
      <c r="D15" s="10" t="s">
        <v>172</v>
      </c>
      <c r="E15" s="10">
        <v>7</v>
      </c>
      <c r="F15" s="10">
        <v>1.75E-3</v>
      </c>
      <c r="G15" s="10" t="s">
        <v>241</v>
      </c>
      <c r="H15" s="10" t="s">
        <v>242</v>
      </c>
    </row>
    <row r="16" spans="1:8" x14ac:dyDescent="0.2">
      <c r="A16" s="10" t="s">
        <v>170</v>
      </c>
      <c r="B16" s="10" t="s">
        <v>169</v>
      </c>
      <c r="C16" s="10" t="s">
        <v>173</v>
      </c>
      <c r="D16" s="10" t="s">
        <v>174</v>
      </c>
      <c r="E16" s="10">
        <v>7</v>
      </c>
      <c r="F16" s="10">
        <v>1.75E-3</v>
      </c>
      <c r="G16" s="10" t="s">
        <v>241</v>
      </c>
      <c r="H16" s="10" t="s">
        <v>242</v>
      </c>
    </row>
    <row r="17" spans="1:8" x14ac:dyDescent="0.2">
      <c r="A17" s="10" t="s">
        <v>170</v>
      </c>
      <c r="B17" s="10" t="s">
        <v>169</v>
      </c>
      <c r="C17" s="10" t="s">
        <v>175</v>
      </c>
      <c r="D17" s="10" t="s">
        <v>176</v>
      </c>
      <c r="E17" s="10">
        <v>7</v>
      </c>
      <c r="F17" s="10">
        <v>1.75E-3</v>
      </c>
      <c r="G17" s="10" t="s">
        <v>241</v>
      </c>
      <c r="H17" s="10" t="s">
        <v>242</v>
      </c>
    </row>
    <row r="18" spans="1:8" x14ac:dyDescent="0.2">
      <c r="A18" s="10" t="s">
        <v>170</v>
      </c>
      <c r="B18" s="10" t="s">
        <v>169</v>
      </c>
      <c r="C18" s="10" t="s">
        <v>177</v>
      </c>
      <c r="D18" s="10" t="s">
        <v>178</v>
      </c>
      <c r="E18" s="10">
        <v>7</v>
      </c>
      <c r="F18" s="10">
        <v>1.75E-3</v>
      </c>
      <c r="G18" s="10" t="s">
        <v>241</v>
      </c>
      <c r="H18" s="10" t="s">
        <v>242</v>
      </c>
    </row>
    <row r="19" spans="1:8" x14ac:dyDescent="0.2">
      <c r="A19" s="10" t="s">
        <v>170</v>
      </c>
      <c r="B19" s="10" t="s">
        <v>169</v>
      </c>
      <c r="C19" s="10" t="s">
        <v>179</v>
      </c>
      <c r="D19" s="10" t="s">
        <v>180</v>
      </c>
      <c r="E19" s="10">
        <v>7</v>
      </c>
      <c r="F19" s="10">
        <v>1.75E-3</v>
      </c>
      <c r="G19" s="10" t="s">
        <v>241</v>
      </c>
      <c r="H19" s="10" t="s">
        <v>242</v>
      </c>
    </row>
    <row r="20" spans="1:8" x14ac:dyDescent="0.2">
      <c r="A20" s="10" t="s">
        <v>170</v>
      </c>
      <c r="B20" s="10" t="s">
        <v>169</v>
      </c>
      <c r="C20" s="10" t="s">
        <v>181</v>
      </c>
      <c r="D20" s="10" t="s">
        <v>182</v>
      </c>
      <c r="E20" s="10">
        <v>7</v>
      </c>
      <c r="F20" s="10">
        <v>1.75E-3</v>
      </c>
      <c r="G20" s="10" t="s">
        <v>241</v>
      </c>
      <c r="H20" s="10" t="s">
        <v>242</v>
      </c>
    </row>
    <row r="21" spans="1:8" x14ac:dyDescent="0.2">
      <c r="A21" s="10" t="s">
        <v>170</v>
      </c>
      <c r="B21" s="10" t="s">
        <v>169</v>
      </c>
      <c r="C21" s="10" t="s">
        <v>183</v>
      </c>
      <c r="D21" s="10" t="s">
        <v>184</v>
      </c>
      <c r="E21" s="10">
        <v>7</v>
      </c>
      <c r="F21" s="10">
        <v>1.75E-3</v>
      </c>
      <c r="G21" s="10" t="s">
        <v>241</v>
      </c>
      <c r="H21" s="10" t="s">
        <v>242</v>
      </c>
    </row>
    <row r="22" spans="1:8" x14ac:dyDescent="0.2">
      <c r="A22" s="10" t="s">
        <v>186</v>
      </c>
      <c r="B22" s="10" t="s">
        <v>185</v>
      </c>
      <c r="C22" s="10" t="s">
        <v>187</v>
      </c>
      <c r="D22" s="10" t="s">
        <v>188</v>
      </c>
      <c r="E22" s="10">
        <v>1</v>
      </c>
      <c r="F22" s="10">
        <v>2.5000000000000001E-4</v>
      </c>
      <c r="G22" s="10" t="s">
        <v>241</v>
      </c>
      <c r="H22" s="10" t="s">
        <v>242</v>
      </c>
    </row>
    <row r="23" spans="1:8" x14ac:dyDescent="0.2">
      <c r="A23" s="10" t="s">
        <v>186</v>
      </c>
      <c r="B23" s="10" t="s">
        <v>185</v>
      </c>
      <c r="C23" s="10" t="s">
        <v>189</v>
      </c>
      <c r="D23" s="10" t="s">
        <v>190</v>
      </c>
      <c r="E23" s="10">
        <v>1</v>
      </c>
      <c r="F23" s="10">
        <v>2.5000000000000001E-4</v>
      </c>
      <c r="G23" s="10" t="s">
        <v>241</v>
      </c>
      <c r="H23" s="10" t="s">
        <v>242</v>
      </c>
    </row>
    <row r="24" spans="1:8" x14ac:dyDescent="0.2">
      <c r="A24" s="10" t="s">
        <v>192</v>
      </c>
      <c r="B24" s="10" t="s">
        <v>191</v>
      </c>
      <c r="C24" s="10" t="s">
        <v>193</v>
      </c>
      <c r="D24" s="10"/>
      <c r="E24" s="10">
        <v>1</v>
      </c>
      <c r="F24" s="10">
        <v>2.5000000000000001E-4</v>
      </c>
      <c r="G24" s="10" t="s">
        <v>241</v>
      </c>
      <c r="H24" s="10" t="s">
        <v>242</v>
      </c>
    </row>
    <row r="25" spans="1:8" x14ac:dyDescent="0.2">
      <c r="A25" s="10" t="s">
        <v>192</v>
      </c>
      <c r="B25" s="10" t="s">
        <v>191</v>
      </c>
      <c r="C25" s="10" t="s">
        <v>194</v>
      </c>
      <c r="D25" s="10" t="s">
        <v>195</v>
      </c>
      <c r="E25" s="10">
        <v>1</v>
      </c>
      <c r="F25" s="10">
        <v>2.5000000000000001E-4</v>
      </c>
      <c r="G25" s="10" t="s">
        <v>241</v>
      </c>
      <c r="H25" s="10" t="s">
        <v>242</v>
      </c>
    </row>
    <row r="26" spans="1:8" x14ac:dyDescent="0.2">
      <c r="A26" s="10" t="s">
        <v>197</v>
      </c>
      <c r="B26" s="10" t="s">
        <v>196</v>
      </c>
      <c r="C26" s="10" t="s">
        <v>198</v>
      </c>
      <c r="D26" s="10" t="s">
        <v>199</v>
      </c>
      <c r="E26" s="10">
        <v>1</v>
      </c>
      <c r="F26" s="10">
        <v>2.5000000000000001E-4</v>
      </c>
      <c r="G26" s="10" t="s">
        <v>241</v>
      </c>
      <c r="H26" s="10" t="s">
        <v>242</v>
      </c>
    </row>
    <row r="27" spans="1:8" x14ac:dyDescent="0.2">
      <c r="A27" s="10" t="s">
        <v>201</v>
      </c>
      <c r="B27" s="10" t="s">
        <v>200</v>
      </c>
      <c r="C27" s="10" t="s">
        <v>202</v>
      </c>
      <c r="D27" s="10" t="s">
        <v>203</v>
      </c>
      <c r="E27" s="10">
        <v>1</v>
      </c>
      <c r="F27" s="10">
        <v>2.5000000000000001E-4</v>
      </c>
      <c r="G27" s="10" t="s">
        <v>241</v>
      </c>
      <c r="H27" s="10" t="s">
        <v>242</v>
      </c>
    </row>
    <row r="28" spans="1:8" x14ac:dyDescent="0.2">
      <c r="A28" s="10" t="s">
        <v>205</v>
      </c>
      <c r="B28" s="10" t="s">
        <v>204</v>
      </c>
      <c r="C28" s="10" t="s">
        <v>206</v>
      </c>
      <c r="D28" s="10" t="s">
        <v>207</v>
      </c>
      <c r="E28" s="10">
        <v>1</v>
      </c>
      <c r="F28" s="10">
        <v>2.5000000000000001E-4</v>
      </c>
      <c r="G28" s="10" t="s">
        <v>241</v>
      </c>
      <c r="H28" s="10" t="s">
        <v>242</v>
      </c>
    </row>
    <row r="29" spans="1:8" x14ac:dyDescent="0.2">
      <c r="A29" s="10" t="s">
        <v>209</v>
      </c>
      <c r="B29" s="10" t="s">
        <v>208</v>
      </c>
      <c r="C29" s="10" t="s">
        <v>210</v>
      </c>
      <c r="D29" s="10" t="s">
        <v>211</v>
      </c>
      <c r="E29" s="10">
        <v>1</v>
      </c>
      <c r="F29" s="10">
        <v>2.5000000000000001E-4</v>
      </c>
      <c r="G29" s="10" t="s">
        <v>241</v>
      </c>
      <c r="H29" s="10" t="s">
        <v>242</v>
      </c>
    </row>
    <row r="30" spans="1:8" x14ac:dyDescent="0.2">
      <c r="A30" s="10" t="s">
        <v>213</v>
      </c>
      <c r="B30" s="10" t="s">
        <v>212</v>
      </c>
      <c r="C30" s="10" t="s">
        <v>214</v>
      </c>
      <c r="D30" s="10"/>
      <c r="E30" s="10">
        <v>1</v>
      </c>
      <c r="F30" s="10">
        <v>2.5000000000000001E-4</v>
      </c>
      <c r="G30" s="10" t="s">
        <v>241</v>
      </c>
      <c r="H30" s="10" t="s">
        <v>242</v>
      </c>
    </row>
    <row r="31" spans="1:8" x14ac:dyDescent="0.2">
      <c r="A31" s="10" t="s">
        <v>216</v>
      </c>
      <c r="B31" s="10" t="s">
        <v>215</v>
      </c>
      <c r="C31" s="10" t="s">
        <v>217</v>
      </c>
      <c r="D31" s="10"/>
      <c r="E31" s="10">
        <v>1</v>
      </c>
      <c r="F31" s="10">
        <v>2.5000000000000001E-4</v>
      </c>
      <c r="G31" s="10" t="s">
        <v>241</v>
      </c>
      <c r="H31" s="10" t="s">
        <v>242</v>
      </c>
    </row>
    <row r="32" spans="1:8" x14ac:dyDescent="0.2">
      <c r="A32" s="10" t="s">
        <v>219</v>
      </c>
      <c r="B32" s="10" t="s">
        <v>218</v>
      </c>
      <c r="C32" s="10" t="s">
        <v>220</v>
      </c>
      <c r="D32" s="10" t="s">
        <v>221</v>
      </c>
      <c r="E32" s="10">
        <v>1</v>
      </c>
      <c r="F32" s="10">
        <v>2.5000000000000001E-4</v>
      </c>
      <c r="G32" s="10" t="s">
        <v>241</v>
      </c>
      <c r="H32" s="10" t="s">
        <v>242</v>
      </c>
    </row>
    <row r="33" spans="1:8" x14ac:dyDescent="0.2">
      <c r="A33" s="10" t="s">
        <v>223</v>
      </c>
      <c r="B33" s="10" t="s">
        <v>222</v>
      </c>
      <c r="C33" s="10" t="s">
        <v>224</v>
      </c>
      <c r="D33" s="10"/>
      <c r="E33" s="10">
        <v>1</v>
      </c>
      <c r="F33" s="10">
        <v>2.5000000000000001E-4</v>
      </c>
      <c r="G33" s="10" t="s">
        <v>241</v>
      </c>
      <c r="H33" s="10" t="s">
        <v>242</v>
      </c>
    </row>
    <row r="34" spans="1:8" x14ac:dyDescent="0.2">
      <c r="A34" s="10" t="s">
        <v>226</v>
      </c>
      <c r="B34" s="10" t="s">
        <v>225</v>
      </c>
      <c r="C34" s="10" t="s">
        <v>227</v>
      </c>
      <c r="D34" s="10" t="s">
        <v>228</v>
      </c>
      <c r="E34" s="10">
        <v>1</v>
      </c>
      <c r="F34" s="10">
        <v>2.5000000000000001E-4</v>
      </c>
      <c r="G34" s="10" t="s">
        <v>241</v>
      </c>
      <c r="H34" s="10" t="s">
        <v>242</v>
      </c>
    </row>
    <row r="35" spans="1:8" x14ac:dyDescent="0.2">
      <c r="A35" s="10" t="s">
        <v>230</v>
      </c>
      <c r="B35" s="10" t="s">
        <v>229</v>
      </c>
      <c r="C35" s="10" t="s">
        <v>231</v>
      </c>
      <c r="D35" s="10" t="s">
        <v>232</v>
      </c>
      <c r="E35" s="10">
        <v>1</v>
      </c>
      <c r="F35" s="10">
        <v>2.5000000000000001E-4</v>
      </c>
      <c r="G35" s="10" t="s">
        <v>241</v>
      </c>
      <c r="H35" s="10" t="s">
        <v>242</v>
      </c>
    </row>
    <row r="36" spans="1:8" x14ac:dyDescent="0.2">
      <c r="A36" s="10" t="s">
        <v>234</v>
      </c>
      <c r="B36" s="10" t="s">
        <v>233</v>
      </c>
      <c r="C36" s="10" t="s">
        <v>235</v>
      </c>
      <c r="D36" s="10" t="s">
        <v>236</v>
      </c>
      <c r="E36" s="10">
        <v>5</v>
      </c>
      <c r="F36" s="10">
        <v>1.25E-3</v>
      </c>
      <c r="G36" s="10" t="s">
        <v>241</v>
      </c>
      <c r="H36" s="10" t="s">
        <v>242</v>
      </c>
    </row>
    <row r="37" spans="1:8" x14ac:dyDescent="0.2">
      <c r="A37" s="10" t="s">
        <v>234</v>
      </c>
      <c r="B37" s="10" t="s">
        <v>233</v>
      </c>
      <c r="C37" s="10" t="s">
        <v>237</v>
      </c>
      <c r="D37" s="10"/>
      <c r="E37" s="10">
        <v>5</v>
      </c>
      <c r="F37" s="10">
        <v>1.25E-3</v>
      </c>
      <c r="G37" s="10" t="s">
        <v>241</v>
      </c>
      <c r="H37" s="10" t="s">
        <v>242</v>
      </c>
    </row>
    <row r="38" spans="1:8" x14ac:dyDescent="0.2">
      <c r="A38" s="10" t="s">
        <v>238</v>
      </c>
      <c r="B38" s="10" t="s">
        <v>14</v>
      </c>
      <c r="C38" s="10" t="s">
        <v>239</v>
      </c>
      <c r="D38" s="10" t="s">
        <v>240</v>
      </c>
      <c r="E38" s="10">
        <v>2</v>
      </c>
      <c r="F38" s="10">
        <v>5.0000000000000001E-4</v>
      </c>
      <c r="G38" s="10" t="s">
        <v>241</v>
      </c>
      <c r="H38" s="10" t="s">
        <v>242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1C8A-F8A4-0C43-86FE-93B111B0A8BE}">
  <dimension ref="A1:AA35"/>
  <sheetViews>
    <sheetView workbookViewId="0">
      <selection activeCell="H1" sqref="A1:H1"/>
    </sheetView>
  </sheetViews>
  <sheetFormatPr baseColWidth="10" defaultRowHeight="16" x14ac:dyDescent="0.2"/>
  <cols>
    <col min="1" max="1" width="26.5" customWidth="1"/>
    <col min="3" max="3" width="39.6640625" bestFit="1" customWidth="1"/>
    <col min="4" max="4" width="8" bestFit="1" customWidth="1"/>
    <col min="5" max="5" width="17" bestFit="1" customWidth="1"/>
    <col min="6" max="6" width="12.5" bestFit="1" customWidth="1"/>
  </cols>
  <sheetData>
    <row r="1" spans="1:8" x14ac:dyDescent="0.2">
      <c r="A1" s="2" t="s">
        <v>1281</v>
      </c>
      <c r="B1" s="2" t="s">
        <v>0</v>
      </c>
      <c r="C1" s="2" t="s">
        <v>45</v>
      </c>
      <c r="D1" s="3" t="s">
        <v>46</v>
      </c>
      <c r="E1" s="3" t="s">
        <v>69</v>
      </c>
      <c r="F1" s="2" t="s">
        <v>68</v>
      </c>
      <c r="G1" s="2" t="s">
        <v>47</v>
      </c>
      <c r="H1" s="2" t="s">
        <v>70</v>
      </c>
    </row>
    <row r="2" spans="1:8" x14ac:dyDescent="0.2">
      <c r="A2" s="4" t="s">
        <v>6</v>
      </c>
      <c r="B2" s="4" t="s">
        <v>7</v>
      </c>
      <c r="C2" s="4" t="s">
        <v>58</v>
      </c>
      <c r="D2" s="4"/>
      <c r="E2" s="4">
        <v>2.599428125812321E-4</v>
      </c>
      <c r="F2" s="4">
        <v>2</v>
      </c>
      <c r="G2" s="4" t="s">
        <v>48</v>
      </c>
      <c r="H2" t="s">
        <v>67</v>
      </c>
    </row>
    <row r="3" spans="1:8" x14ac:dyDescent="0.2">
      <c r="A3" s="4" t="s">
        <v>6</v>
      </c>
      <c r="B3" s="4" t="s">
        <v>7</v>
      </c>
      <c r="C3" s="4" t="s">
        <v>59</v>
      </c>
      <c r="D3" s="4"/>
      <c r="E3" s="4">
        <v>1.2997140629061605E-4</v>
      </c>
      <c r="F3" s="4">
        <v>1</v>
      </c>
      <c r="G3" s="4" t="s">
        <v>48</v>
      </c>
      <c r="H3" t="s">
        <v>67</v>
      </c>
    </row>
    <row r="4" spans="1:8" x14ac:dyDescent="0.2">
      <c r="A4" s="4" t="s">
        <v>6</v>
      </c>
      <c r="B4" s="4" t="s">
        <v>7</v>
      </c>
      <c r="C4" s="4" t="s">
        <v>60</v>
      </c>
      <c r="D4" s="4"/>
      <c r="E4" s="4">
        <v>1.2997140629061605E-4</v>
      </c>
      <c r="F4" s="4">
        <v>1</v>
      </c>
      <c r="G4" s="4" t="s">
        <v>48</v>
      </c>
      <c r="H4" t="s">
        <v>67</v>
      </c>
    </row>
    <row r="5" spans="1:8" x14ac:dyDescent="0.2">
      <c r="A5" s="4" t="s">
        <v>35</v>
      </c>
      <c r="B5" s="4" t="s">
        <v>36</v>
      </c>
      <c r="C5" s="4" t="s">
        <v>40</v>
      </c>
      <c r="D5" s="4"/>
      <c r="E5" s="4">
        <v>1.2997140629061605E-4</v>
      </c>
      <c r="F5" s="4">
        <v>1</v>
      </c>
      <c r="G5" s="4" t="s">
        <v>48</v>
      </c>
      <c r="H5" t="s">
        <v>67</v>
      </c>
    </row>
    <row r="6" spans="1:8" x14ac:dyDescent="0.2">
      <c r="A6" s="4" t="s">
        <v>35</v>
      </c>
      <c r="B6" s="4" t="s">
        <v>36</v>
      </c>
      <c r="C6" s="4" t="s">
        <v>38</v>
      </c>
      <c r="D6" s="4"/>
      <c r="E6" s="4">
        <v>1.2997140629061605E-4</v>
      </c>
      <c r="F6" s="4">
        <v>1</v>
      </c>
      <c r="G6" s="4" t="s">
        <v>48</v>
      </c>
      <c r="H6" t="s">
        <v>67</v>
      </c>
    </row>
    <row r="7" spans="1:8" x14ac:dyDescent="0.2">
      <c r="A7" s="4" t="s">
        <v>35</v>
      </c>
      <c r="B7" s="4" t="s">
        <v>36</v>
      </c>
      <c r="C7" s="4" t="s">
        <v>39</v>
      </c>
      <c r="D7" s="4"/>
      <c r="E7" s="4">
        <v>1.2997140629061605E-4</v>
      </c>
      <c r="F7" s="4">
        <v>1</v>
      </c>
      <c r="G7" s="4" t="s">
        <v>48</v>
      </c>
      <c r="H7" t="s">
        <v>67</v>
      </c>
    </row>
    <row r="8" spans="1:8" x14ac:dyDescent="0.2">
      <c r="A8" s="4" t="s">
        <v>35</v>
      </c>
      <c r="B8" s="4" t="s">
        <v>36</v>
      </c>
      <c r="C8" s="4" t="s">
        <v>37</v>
      </c>
      <c r="D8" s="4"/>
      <c r="E8" s="4">
        <v>2.599428125812321E-4</v>
      </c>
      <c r="F8" s="4">
        <v>2</v>
      </c>
      <c r="G8" s="4" t="s">
        <v>48</v>
      </c>
      <c r="H8" t="s">
        <v>67</v>
      </c>
    </row>
    <row r="9" spans="1:8" x14ac:dyDescent="0.2">
      <c r="A9" s="4" t="s">
        <v>31</v>
      </c>
      <c r="B9" s="4" t="s">
        <v>32</v>
      </c>
      <c r="C9" s="4" t="s">
        <v>34</v>
      </c>
      <c r="D9" s="4"/>
      <c r="E9" s="4">
        <v>1.2997140629061605E-4</v>
      </c>
      <c r="F9" s="4">
        <v>1</v>
      </c>
      <c r="G9" s="4" t="s">
        <v>48</v>
      </c>
      <c r="H9" t="s">
        <v>67</v>
      </c>
    </row>
    <row r="10" spans="1:8" x14ac:dyDescent="0.2">
      <c r="A10" s="4" t="s">
        <v>31</v>
      </c>
      <c r="B10" s="4" t="s">
        <v>32</v>
      </c>
      <c r="C10" s="4" t="s">
        <v>33</v>
      </c>
      <c r="D10" s="4"/>
      <c r="E10" s="4">
        <v>1.2997140629061605E-4</v>
      </c>
      <c r="F10" s="4">
        <v>1</v>
      </c>
      <c r="G10" s="4" t="s">
        <v>48</v>
      </c>
      <c r="H10" t="s">
        <v>67</v>
      </c>
    </row>
    <row r="11" spans="1:8" x14ac:dyDescent="0.2">
      <c r="A11" s="4" t="s">
        <v>15</v>
      </c>
      <c r="B11" s="4" t="s">
        <v>16</v>
      </c>
      <c r="C11" s="4" t="s">
        <v>52</v>
      </c>
      <c r="D11" s="4"/>
      <c r="E11" s="4">
        <v>1.2997140629061605E-4</v>
      </c>
      <c r="F11" s="4">
        <v>1</v>
      </c>
      <c r="G11" s="4" t="s">
        <v>48</v>
      </c>
      <c r="H11" t="s">
        <v>67</v>
      </c>
    </row>
    <row r="12" spans="1:8" x14ac:dyDescent="0.2">
      <c r="A12" s="4" t="s">
        <v>15</v>
      </c>
      <c r="B12" s="4" t="s">
        <v>16</v>
      </c>
      <c r="C12" s="4" t="s">
        <v>53</v>
      </c>
      <c r="D12" s="4"/>
      <c r="E12" s="4">
        <v>1.2997140629061605E-4</v>
      </c>
      <c r="F12" s="4">
        <v>1</v>
      </c>
      <c r="G12" s="4" t="s">
        <v>48</v>
      </c>
      <c r="H12" t="s">
        <v>67</v>
      </c>
    </row>
    <row r="13" spans="1:8" x14ac:dyDescent="0.2">
      <c r="A13" s="4" t="s">
        <v>8</v>
      </c>
      <c r="B13" s="4" t="s">
        <v>9</v>
      </c>
      <c r="C13" s="4" t="s">
        <v>61</v>
      </c>
      <c r="D13" s="4"/>
      <c r="E13" s="4">
        <v>9.0979984403431247E-4</v>
      </c>
      <c r="F13" s="4">
        <v>7</v>
      </c>
      <c r="G13" s="4" t="s">
        <v>48</v>
      </c>
      <c r="H13" t="s">
        <v>67</v>
      </c>
    </row>
    <row r="14" spans="1:8" x14ac:dyDescent="0.2">
      <c r="A14" s="4" t="s">
        <v>8</v>
      </c>
      <c r="B14" s="4" t="s">
        <v>9</v>
      </c>
      <c r="C14" s="4" t="s">
        <v>51</v>
      </c>
      <c r="D14" s="4"/>
      <c r="E14" s="4">
        <v>2.599428125812321E-4</v>
      </c>
      <c r="F14" s="4">
        <v>2</v>
      </c>
      <c r="G14" s="4" t="s">
        <v>48</v>
      </c>
      <c r="H14" t="s">
        <v>67</v>
      </c>
    </row>
    <row r="15" spans="1:8" x14ac:dyDescent="0.2">
      <c r="A15" s="4" t="s">
        <v>8</v>
      </c>
      <c r="B15" s="4" t="s">
        <v>9</v>
      </c>
      <c r="C15" s="4" t="s">
        <v>62</v>
      </c>
      <c r="D15" s="4"/>
      <c r="E15" s="4">
        <v>1.2997140629061605E-4</v>
      </c>
      <c r="F15" s="4">
        <v>1</v>
      </c>
      <c r="G15" s="4" t="s">
        <v>48</v>
      </c>
      <c r="H15" t="s">
        <v>67</v>
      </c>
    </row>
    <row r="16" spans="1:8" x14ac:dyDescent="0.2">
      <c r="A16" s="4" t="s">
        <v>25</v>
      </c>
      <c r="B16" s="4" t="s">
        <v>26</v>
      </c>
      <c r="C16" s="4" t="s">
        <v>27</v>
      </c>
      <c r="D16" s="4"/>
      <c r="E16" s="4">
        <v>1.2997140629061605E-4</v>
      </c>
      <c r="F16" s="4">
        <v>1</v>
      </c>
      <c r="G16" s="4" t="s">
        <v>48</v>
      </c>
      <c r="H16" t="s">
        <v>67</v>
      </c>
    </row>
    <row r="17" spans="1:27" x14ac:dyDescent="0.2">
      <c r="A17" s="4" t="s">
        <v>1</v>
      </c>
      <c r="B17" s="4" t="s">
        <v>2</v>
      </c>
      <c r="C17" s="4" t="s">
        <v>57</v>
      </c>
      <c r="D17" s="4"/>
      <c r="E17" s="4">
        <v>1.2997140629061605E-4</v>
      </c>
      <c r="F17" s="4">
        <v>1</v>
      </c>
      <c r="G17" s="4" t="s">
        <v>48</v>
      </c>
      <c r="H17" t="s">
        <v>67</v>
      </c>
    </row>
    <row r="18" spans="1:27" x14ac:dyDescent="0.2">
      <c r="A18" s="4" t="s">
        <v>1</v>
      </c>
      <c r="B18" s="4" t="s">
        <v>2</v>
      </c>
      <c r="C18" s="4" t="s">
        <v>56</v>
      </c>
      <c r="D18" s="4"/>
      <c r="E18" s="4">
        <v>1.2997140629061605E-4</v>
      </c>
      <c r="F18" s="4">
        <v>1</v>
      </c>
      <c r="G18" s="4" t="s">
        <v>48</v>
      </c>
      <c r="H18" t="s">
        <v>67</v>
      </c>
    </row>
    <row r="19" spans="1:27" s="1" customFormat="1" x14ac:dyDescent="0.2">
      <c r="A19" s="4" t="s">
        <v>1</v>
      </c>
      <c r="B19" s="4" t="s">
        <v>2</v>
      </c>
      <c r="C19" s="4" t="s">
        <v>3</v>
      </c>
      <c r="D19" s="4"/>
      <c r="E19" s="4">
        <v>1.2997140629061605E-4</v>
      </c>
      <c r="F19" s="4">
        <v>1</v>
      </c>
      <c r="G19" s="4" t="s">
        <v>48</v>
      </c>
      <c r="H19" t="s">
        <v>67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s="1" customFormat="1" x14ac:dyDescent="0.2">
      <c r="A20" s="4" t="s">
        <v>1</v>
      </c>
      <c r="B20" s="4" t="s">
        <v>2</v>
      </c>
      <c r="C20" s="4" t="s">
        <v>65</v>
      </c>
      <c r="D20" s="4"/>
      <c r="E20" s="4">
        <v>5.198856251624643E-3</v>
      </c>
      <c r="F20" s="4">
        <v>40</v>
      </c>
      <c r="G20" s="4" t="s">
        <v>48</v>
      </c>
      <c r="H20" t="s">
        <v>67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x14ac:dyDescent="0.2">
      <c r="A21" s="4" t="s">
        <v>1</v>
      </c>
      <c r="B21" s="4" t="s">
        <v>2</v>
      </c>
      <c r="C21" s="4" t="s">
        <v>66</v>
      </c>
      <c r="D21" s="4"/>
      <c r="E21" s="4">
        <v>5.198856251624643E-3</v>
      </c>
      <c r="F21" s="4">
        <v>40</v>
      </c>
      <c r="G21" s="4" t="s">
        <v>48</v>
      </c>
      <c r="H21" t="s">
        <v>67</v>
      </c>
    </row>
    <row r="22" spans="1:27" x14ac:dyDescent="0.2">
      <c r="A22" s="4" t="s">
        <v>1</v>
      </c>
      <c r="B22" s="4" t="s">
        <v>2</v>
      </c>
      <c r="C22" s="4" t="s">
        <v>4</v>
      </c>
      <c r="D22" s="4"/>
      <c r="E22" s="4">
        <v>2.599428125812321E-4</v>
      </c>
      <c r="F22" s="4">
        <v>2</v>
      </c>
      <c r="G22" s="4" t="s">
        <v>48</v>
      </c>
      <c r="H22" t="s">
        <v>67</v>
      </c>
    </row>
    <row r="23" spans="1:27" s="1" customFormat="1" x14ac:dyDescent="0.2">
      <c r="A23" s="4" t="s">
        <v>1</v>
      </c>
      <c r="B23" s="4" t="s">
        <v>2</v>
      </c>
      <c r="C23" s="4" t="s">
        <v>5</v>
      </c>
      <c r="D23" s="4"/>
      <c r="E23" s="4">
        <v>5.1988562516246421E-4</v>
      </c>
      <c r="F23" s="4">
        <v>4</v>
      </c>
      <c r="G23" s="4" t="s">
        <v>48</v>
      </c>
      <c r="H23" t="s">
        <v>67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2">
      <c r="A24" s="4" t="s">
        <v>1</v>
      </c>
      <c r="B24" s="4" t="s">
        <v>2</v>
      </c>
      <c r="C24" s="4" t="s">
        <v>12</v>
      </c>
      <c r="D24" s="4"/>
      <c r="E24" s="4">
        <v>1.2997140629061605E-4</v>
      </c>
      <c r="F24" s="4">
        <v>1</v>
      </c>
      <c r="G24" s="4" t="s">
        <v>48</v>
      </c>
      <c r="H24" t="s">
        <v>67</v>
      </c>
    </row>
    <row r="25" spans="1:27" x14ac:dyDescent="0.2">
      <c r="A25" s="4" t="s">
        <v>43</v>
      </c>
      <c r="B25" s="4" t="s">
        <v>44</v>
      </c>
      <c r="C25" s="4" t="s">
        <v>49</v>
      </c>
      <c r="D25" s="4"/>
      <c r="E25" s="4">
        <v>5.1988562516246421E-4</v>
      </c>
      <c r="F25" s="4">
        <v>4</v>
      </c>
      <c r="G25" s="4" t="s">
        <v>48</v>
      </c>
      <c r="H25" t="s">
        <v>67</v>
      </c>
    </row>
    <row r="26" spans="1:27" x14ac:dyDescent="0.2">
      <c r="A26" s="4" t="s">
        <v>17</v>
      </c>
      <c r="B26" s="4" t="s">
        <v>18</v>
      </c>
      <c r="C26" s="4" t="s">
        <v>19</v>
      </c>
      <c r="D26" s="4"/>
      <c r="E26" s="4">
        <v>1.2997140629061605E-4</v>
      </c>
      <c r="F26" s="4">
        <v>1</v>
      </c>
      <c r="G26" s="4" t="s">
        <v>48</v>
      </c>
      <c r="H26" t="s">
        <v>67</v>
      </c>
    </row>
    <row r="27" spans="1:27" x14ac:dyDescent="0.2">
      <c r="A27" s="4" t="s">
        <v>17</v>
      </c>
      <c r="B27" s="4" t="s">
        <v>18</v>
      </c>
      <c r="C27" s="4" t="s">
        <v>20</v>
      </c>
      <c r="D27" s="4"/>
      <c r="E27" s="4">
        <v>1.2997140629061605E-4</v>
      </c>
      <c r="F27" s="4">
        <v>1</v>
      </c>
      <c r="G27" s="4" t="s">
        <v>48</v>
      </c>
      <c r="H27" t="s">
        <v>67</v>
      </c>
    </row>
    <row r="28" spans="1:27" x14ac:dyDescent="0.2">
      <c r="A28" s="4" t="s">
        <v>21</v>
      </c>
      <c r="B28" s="4" t="s">
        <v>22</v>
      </c>
      <c r="C28" s="4" t="s">
        <v>24</v>
      </c>
      <c r="D28" s="4"/>
      <c r="E28" s="4">
        <v>1.2997140629061605E-4</v>
      </c>
      <c r="F28" s="4">
        <v>1</v>
      </c>
      <c r="G28" s="4" t="s">
        <v>48</v>
      </c>
      <c r="H28" t="s">
        <v>67</v>
      </c>
    </row>
    <row r="29" spans="1:27" x14ac:dyDescent="0.2">
      <c r="A29" s="4" t="s">
        <v>21</v>
      </c>
      <c r="B29" s="4" t="s">
        <v>22</v>
      </c>
      <c r="C29" s="4" t="s">
        <v>23</v>
      </c>
      <c r="D29" s="4"/>
      <c r="E29" s="4">
        <v>1.2997140629061605E-4</v>
      </c>
      <c r="F29" s="4">
        <v>1</v>
      </c>
      <c r="G29" s="4" t="s">
        <v>48</v>
      </c>
      <c r="H29" t="s">
        <v>67</v>
      </c>
    </row>
    <row r="30" spans="1:27" x14ac:dyDescent="0.2">
      <c r="A30" s="4" t="s">
        <v>28</v>
      </c>
      <c r="B30" s="4" t="s">
        <v>29</v>
      </c>
      <c r="C30" s="4" t="s">
        <v>30</v>
      </c>
      <c r="D30" s="4"/>
      <c r="E30" s="4">
        <v>1.2997140629061605E-4</v>
      </c>
      <c r="F30" s="4">
        <v>1</v>
      </c>
      <c r="G30" s="4" t="s">
        <v>48</v>
      </c>
      <c r="H30" t="s">
        <v>67</v>
      </c>
    </row>
    <row r="31" spans="1:27" x14ac:dyDescent="0.2">
      <c r="A31" s="4" t="s">
        <v>10</v>
      </c>
      <c r="B31" s="4" t="s">
        <v>11</v>
      </c>
      <c r="C31" s="4" t="s">
        <v>63</v>
      </c>
      <c r="D31" s="4"/>
      <c r="E31" s="4">
        <v>1.2997140629061605E-4</v>
      </c>
      <c r="F31" s="4">
        <v>1</v>
      </c>
      <c r="G31" s="4" t="s">
        <v>48</v>
      </c>
      <c r="H31" t="s">
        <v>67</v>
      </c>
    </row>
    <row r="32" spans="1:27" x14ac:dyDescent="0.2">
      <c r="A32" s="4" t="s">
        <v>10</v>
      </c>
      <c r="B32" s="4" t="s">
        <v>11</v>
      </c>
      <c r="C32" s="4" t="s">
        <v>64</v>
      </c>
      <c r="D32" s="4"/>
      <c r="E32" s="4">
        <v>1.2997140629061605E-4</v>
      </c>
      <c r="F32" s="4">
        <v>1</v>
      </c>
      <c r="G32" s="4" t="s">
        <v>48</v>
      </c>
      <c r="H32" t="s">
        <v>67</v>
      </c>
    </row>
    <row r="33" spans="1:8" x14ac:dyDescent="0.2">
      <c r="A33" s="4" t="s">
        <v>13</v>
      </c>
      <c r="B33" s="4" t="s">
        <v>14</v>
      </c>
      <c r="C33" s="4" t="s">
        <v>55</v>
      </c>
      <c r="D33" s="4"/>
      <c r="E33" s="4">
        <v>1.2997140629061605E-4</v>
      </c>
      <c r="F33" s="4">
        <v>1</v>
      </c>
      <c r="G33" s="4" t="s">
        <v>48</v>
      </c>
      <c r="H33" t="s">
        <v>67</v>
      </c>
    </row>
    <row r="34" spans="1:8" x14ac:dyDescent="0.2">
      <c r="A34" s="4" t="s">
        <v>13</v>
      </c>
      <c r="B34" s="4" t="s">
        <v>14</v>
      </c>
      <c r="C34" s="4" t="s">
        <v>54</v>
      </c>
      <c r="D34" s="4"/>
      <c r="E34" s="4">
        <v>1.2997140629061605E-4</v>
      </c>
      <c r="F34" s="4">
        <v>1</v>
      </c>
      <c r="G34" s="4" t="s">
        <v>48</v>
      </c>
      <c r="H34" t="s">
        <v>67</v>
      </c>
    </row>
    <row r="35" spans="1:8" x14ac:dyDescent="0.2">
      <c r="A35" s="4" t="s">
        <v>41</v>
      </c>
      <c r="B35" s="4" t="s">
        <v>42</v>
      </c>
      <c r="C35" s="4" t="s">
        <v>50</v>
      </c>
      <c r="D35" s="4"/>
      <c r="E35" s="4">
        <v>2.599428125812321E-4</v>
      </c>
      <c r="F35" s="4">
        <v>2</v>
      </c>
      <c r="G35" s="4" t="s">
        <v>48</v>
      </c>
      <c r="H35" t="s">
        <v>67</v>
      </c>
    </row>
  </sheetData>
  <sortState xmlns:xlrd2="http://schemas.microsoft.com/office/spreadsheetml/2017/richdata2" ref="A2:E35">
    <sortCondition ref="A1:A35"/>
  </sortState>
  <phoneticPr fontId="4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0BBC-5232-0A4F-BCA7-D860758A996E}">
  <dimension ref="A1:Y17"/>
  <sheetViews>
    <sheetView zoomScale="178" workbookViewId="0">
      <selection activeCell="B7" sqref="B7"/>
    </sheetView>
  </sheetViews>
  <sheetFormatPr baseColWidth="10" defaultRowHeight="16" x14ac:dyDescent="0.2"/>
  <cols>
    <col min="1" max="1" width="47.33203125" bestFit="1" customWidth="1"/>
    <col min="2" max="2" width="9.1640625" bestFit="1" customWidth="1"/>
    <col min="3" max="3" width="11.6640625" bestFit="1" customWidth="1"/>
    <col min="4" max="4" width="15.5" bestFit="1" customWidth="1"/>
    <col min="5" max="5" width="14.83203125" bestFit="1" customWidth="1"/>
    <col min="6" max="6" width="11" bestFit="1" customWidth="1"/>
    <col min="7" max="7" width="11.6640625" bestFit="1" customWidth="1"/>
    <col min="8" max="8" width="7.5" bestFit="1" customWidth="1"/>
  </cols>
  <sheetData>
    <row r="1" spans="1:25" s="11" customFormat="1" ht="22" x14ac:dyDescent="0.25">
      <c r="A1" s="13" t="s">
        <v>1281</v>
      </c>
      <c r="B1" s="13" t="s">
        <v>0</v>
      </c>
      <c r="C1" s="13" t="s">
        <v>45</v>
      </c>
      <c r="D1" s="13" t="s">
        <v>46</v>
      </c>
      <c r="E1" s="13" t="s">
        <v>69</v>
      </c>
      <c r="F1" s="13" t="s">
        <v>68</v>
      </c>
      <c r="G1" s="13" t="s">
        <v>47</v>
      </c>
      <c r="H1" s="13" t="s">
        <v>70</v>
      </c>
      <c r="I1" s="5"/>
      <c r="R1" s="2"/>
      <c r="S1" s="2"/>
      <c r="T1" s="2"/>
      <c r="U1" s="3"/>
      <c r="V1" s="3"/>
      <c r="W1" s="2"/>
      <c r="X1" s="2"/>
      <c r="Y1" s="2"/>
    </row>
    <row r="2" spans="1:25" x14ac:dyDescent="0.2">
      <c r="A2" s="17" t="s">
        <v>1288</v>
      </c>
      <c r="B2" s="17" t="s">
        <v>2</v>
      </c>
      <c r="C2" s="14" t="s">
        <v>1289</v>
      </c>
      <c r="D2" s="14" t="s">
        <v>1290</v>
      </c>
      <c r="E2" s="14">
        <f>2/1000</f>
        <v>2E-3</v>
      </c>
      <c r="F2" s="14">
        <v>2</v>
      </c>
      <c r="G2" s="14" t="s">
        <v>1291</v>
      </c>
      <c r="H2" s="14" t="s">
        <v>67</v>
      </c>
    </row>
    <row r="3" spans="1:25" x14ac:dyDescent="0.2">
      <c r="A3" s="17" t="s">
        <v>1288</v>
      </c>
      <c r="B3" s="17" t="s">
        <v>2</v>
      </c>
      <c r="C3" s="15" t="s">
        <v>1292</v>
      </c>
      <c r="D3" s="14" t="s">
        <v>151</v>
      </c>
      <c r="E3" s="14">
        <f>2/1000</f>
        <v>2E-3</v>
      </c>
      <c r="F3" s="14">
        <v>2</v>
      </c>
      <c r="G3" s="14" t="s">
        <v>1291</v>
      </c>
      <c r="H3" s="14" t="s">
        <v>67</v>
      </c>
    </row>
    <row r="4" spans="1:25" x14ac:dyDescent="0.2">
      <c r="A4" s="17" t="s">
        <v>1288</v>
      </c>
      <c r="B4" s="17" t="s">
        <v>2</v>
      </c>
      <c r="C4" s="15" t="s">
        <v>56</v>
      </c>
      <c r="D4" s="14" t="s">
        <v>1293</v>
      </c>
      <c r="E4" s="14">
        <v>1E-3</v>
      </c>
      <c r="F4" s="14">
        <v>1</v>
      </c>
      <c r="G4" s="14" t="s">
        <v>1291</v>
      </c>
      <c r="H4" s="14" t="s">
        <v>67</v>
      </c>
    </row>
    <row r="5" spans="1:25" x14ac:dyDescent="0.2">
      <c r="A5" s="17" t="s">
        <v>1288</v>
      </c>
      <c r="B5" s="17" t="s">
        <v>2</v>
      </c>
      <c r="C5" s="14" t="s">
        <v>1294</v>
      </c>
      <c r="D5" s="14" t="s">
        <v>147</v>
      </c>
      <c r="E5" s="14">
        <v>1E-3</v>
      </c>
      <c r="F5" s="14">
        <v>1</v>
      </c>
      <c r="G5" s="14" t="s">
        <v>1291</v>
      </c>
      <c r="H5" s="14" t="s">
        <v>67</v>
      </c>
    </row>
    <row r="6" spans="1:25" x14ac:dyDescent="0.2">
      <c r="A6" s="17" t="s">
        <v>1295</v>
      </c>
      <c r="B6" s="17" t="s">
        <v>1283</v>
      </c>
      <c r="C6" s="15" t="s">
        <v>1296</v>
      </c>
      <c r="D6" s="14"/>
      <c r="E6" s="14" t="s">
        <v>1298</v>
      </c>
      <c r="F6" s="14" t="s">
        <v>1298</v>
      </c>
      <c r="G6" s="14" t="s">
        <v>1291</v>
      </c>
      <c r="H6" s="14" t="s">
        <v>67</v>
      </c>
    </row>
    <row r="7" spans="1:25" x14ac:dyDescent="0.2">
      <c r="A7" s="17" t="s">
        <v>1295</v>
      </c>
      <c r="B7" s="17" t="s">
        <v>1283</v>
      </c>
      <c r="C7" s="15" t="s">
        <v>1297</v>
      </c>
      <c r="D7" s="14"/>
      <c r="E7" s="14" t="s">
        <v>1298</v>
      </c>
      <c r="F7" s="14" t="s">
        <v>1298</v>
      </c>
      <c r="G7" s="14" t="s">
        <v>1291</v>
      </c>
      <c r="H7" s="14" t="s">
        <v>67</v>
      </c>
    </row>
    <row r="8" spans="1:25" x14ac:dyDescent="0.2">
      <c r="A8" s="15" t="s">
        <v>1299</v>
      </c>
      <c r="B8" s="14" t="s">
        <v>766</v>
      </c>
      <c r="C8" s="15" t="s">
        <v>1300</v>
      </c>
      <c r="D8" s="15" t="s">
        <v>1301</v>
      </c>
      <c r="E8" s="14">
        <v>1E-3</v>
      </c>
      <c r="F8" s="14">
        <v>1</v>
      </c>
      <c r="G8" s="14" t="s">
        <v>1291</v>
      </c>
      <c r="H8" s="14" t="s">
        <v>67</v>
      </c>
    </row>
    <row r="9" spans="1:25" x14ac:dyDescent="0.2">
      <c r="A9" s="15" t="s">
        <v>1302</v>
      </c>
      <c r="B9" s="14" t="s">
        <v>1284</v>
      </c>
      <c r="C9" s="15" t="s">
        <v>1303</v>
      </c>
      <c r="D9" s="15" t="s">
        <v>1304</v>
      </c>
      <c r="E9" s="14">
        <v>1E-3</v>
      </c>
      <c r="F9" s="14">
        <v>1</v>
      </c>
      <c r="G9" s="14" t="s">
        <v>1291</v>
      </c>
      <c r="H9" s="14" t="s">
        <v>67</v>
      </c>
    </row>
    <row r="10" spans="1:25" x14ac:dyDescent="0.2">
      <c r="A10" s="15" t="s">
        <v>1306</v>
      </c>
      <c r="B10" s="14" t="s">
        <v>1305</v>
      </c>
      <c r="C10" s="15" t="s">
        <v>1307</v>
      </c>
      <c r="D10" s="14" t="s">
        <v>1308</v>
      </c>
      <c r="E10" s="14">
        <v>1E-3</v>
      </c>
      <c r="F10" s="14">
        <v>1</v>
      </c>
      <c r="G10" s="14" t="s">
        <v>1291</v>
      </c>
      <c r="H10" s="14" t="s">
        <v>67</v>
      </c>
    </row>
    <row r="11" spans="1:25" x14ac:dyDescent="0.2">
      <c r="A11" s="15" t="s">
        <v>1309</v>
      </c>
      <c r="B11" s="14" t="s">
        <v>1285</v>
      </c>
      <c r="C11" s="15" t="s">
        <v>1310</v>
      </c>
      <c r="D11" s="14" t="s">
        <v>1311</v>
      </c>
      <c r="E11" s="14">
        <v>1E-3</v>
      </c>
      <c r="F11" s="14">
        <v>1</v>
      </c>
      <c r="G11" s="14" t="s">
        <v>1291</v>
      </c>
      <c r="H11" s="14" t="s">
        <v>67</v>
      </c>
    </row>
    <row r="12" spans="1:25" x14ac:dyDescent="0.2">
      <c r="A12" s="16" t="s">
        <v>1312</v>
      </c>
      <c r="B12" s="17" t="s">
        <v>169</v>
      </c>
      <c r="C12" s="15" t="s">
        <v>171</v>
      </c>
      <c r="D12" s="14" t="s">
        <v>1313</v>
      </c>
      <c r="E12" s="14">
        <v>1E-3</v>
      </c>
      <c r="F12" s="14">
        <v>1</v>
      </c>
      <c r="G12" s="14" t="s">
        <v>1291</v>
      </c>
      <c r="H12" s="14" t="s">
        <v>67</v>
      </c>
    </row>
    <row r="13" spans="1:25" x14ac:dyDescent="0.2">
      <c r="A13" s="16" t="s">
        <v>1312</v>
      </c>
      <c r="B13" s="17" t="s">
        <v>169</v>
      </c>
      <c r="C13" s="15" t="s">
        <v>1314</v>
      </c>
      <c r="D13" s="15" t="s">
        <v>1315</v>
      </c>
      <c r="E13" s="14">
        <v>1E-3</v>
      </c>
      <c r="F13" s="14">
        <v>1</v>
      </c>
      <c r="G13" s="14" t="s">
        <v>1291</v>
      </c>
      <c r="H13" s="14" t="s">
        <v>67</v>
      </c>
    </row>
    <row r="14" spans="1:25" x14ac:dyDescent="0.2">
      <c r="A14" s="15" t="s">
        <v>1318</v>
      </c>
      <c r="B14" s="14" t="s">
        <v>1286</v>
      </c>
      <c r="C14" s="15" t="s">
        <v>1316</v>
      </c>
      <c r="D14" s="15" t="s">
        <v>1317</v>
      </c>
      <c r="E14" s="14">
        <v>1E-3</v>
      </c>
      <c r="F14" s="14">
        <v>1</v>
      </c>
      <c r="G14" s="14" t="s">
        <v>1291</v>
      </c>
      <c r="H14" s="14" t="s">
        <v>67</v>
      </c>
    </row>
    <row r="15" spans="1:25" x14ac:dyDescent="0.2">
      <c r="A15" s="15" t="s">
        <v>1319</v>
      </c>
      <c r="B15" s="14" t="s">
        <v>1287</v>
      </c>
      <c r="C15" s="15" t="s">
        <v>1320</v>
      </c>
      <c r="D15" s="14"/>
      <c r="E15" s="14">
        <f>2/1000</f>
        <v>2E-3</v>
      </c>
      <c r="F15" s="14">
        <v>2</v>
      </c>
      <c r="G15" s="14" t="s">
        <v>1291</v>
      </c>
      <c r="H15" s="14" t="s">
        <v>67</v>
      </c>
    </row>
    <row r="16" spans="1:25" x14ac:dyDescent="0.2">
      <c r="A16" s="16" t="s">
        <v>1322</v>
      </c>
      <c r="B16" s="17" t="s">
        <v>1321</v>
      </c>
      <c r="C16" s="15" t="s">
        <v>1323</v>
      </c>
      <c r="D16" s="14" t="s">
        <v>1324</v>
      </c>
      <c r="E16" s="14">
        <v>1E-3</v>
      </c>
      <c r="F16" s="14">
        <v>1</v>
      </c>
      <c r="G16" s="14" t="s">
        <v>1291</v>
      </c>
      <c r="H16" s="14" t="s">
        <v>67</v>
      </c>
    </row>
    <row r="17" spans="1:8" x14ac:dyDescent="0.2">
      <c r="A17" s="16" t="s">
        <v>1327</v>
      </c>
      <c r="B17" s="17" t="s">
        <v>1321</v>
      </c>
      <c r="C17" s="15" t="s">
        <v>1325</v>
      </c>
      <c r="D17" s="14" t="s">
        <v>1326</v>
      </c>
      <c r="E17" s="14">
        <v>1E-3</v>
      </c>
      <c r="F17" s="14">
        <v>1</v>
      </c>
      <c r="G17" s="14" t="s">
        <v>1291</v>
      </c>
      <c r="H17" s="14" t="s">
        <v>67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4A0A-B97E-5C4C-9BC5-10A618C1B46E}">
  <dimension ref="A1:H254"/>
  <sheetViews>
    <sheetView workbookViewId="0">
      <selection sqref="A1:XFD1"/>
    </sheetView>
  </sheetViews>
  <sheetFormatPr baseColWidth="10" defaultColWidth="8.83203125" defaultRowHeight="15" x14ac:dyDescent="0.2"/>
  <cols>
    <col min="1" max="1" width="8.83203125" style="10"/>
    <col min="2" max="2" width="12.1640625" style="10" customWidth="1"/>
    <col min="3" max="3" width="19.5" style="10" customWidth="1"/>
    <col min="4" max="4" width="26.33203125" style="10" customWidth="1"/>
    <col min="5" max="5" width="14.33203125" style="10" bestFit="1" customWidth="1"/>
    <col min="6" max="6" width="20.5" style="10" bestFit="1" customWidth="1"/>
    <col min="7" max="16384" width="8.83203125" style="10"/>
  </cols>
  <sheetData>
    <row r="1" spans="1:8" s="9" customFormat="1" x14ac:dyDescent="0.2">
      <c r="A1" s="9" t="s">
        <v>1281</v>
      </c>
      <c r="B1" s="9" t="s">
        <v>71</v>
      </c>
      <c r="C1" s="9" t="s">
        <v>45</v>
      </c>
      <c r="D1" s="9" t="s">
        <v>46</v>
      </c>
      <c r="E1" s="9" t="s">
        <v>1262</v>
      </c>
      <c r="F1" s="9" t="s">
        <v>1263</v>
      </c>
      <c r="G1" s="9" t="s">
        <v>47</v>
      </c>
      <c r="H1" s="9" t="s">
        <v>70</v>
      </c>
    </row>
    <row r="2" spans="1:8" x14ac:dyDescent="0.2">
      <c r="A2" s="10" t="s">
        <v>481</v>
      </c>
      <c r="B2" s="10" t="s">
        <v>480</v>
      </c>
      <c r="C2" s="10" t="s">
        <v>832</v>
      </c>
      <c r="D2" s="10" t="s">
        <v>1054</v>
      </c>
      <c r="E2" s="10">
        <v>1</v>
      </c>
      <c r="F2" s="10">
        <v>6.2893081761006293E-3</v>
      </c>
      <c r="G2" s="10" t="s">
        <v>100</v>
      </c>
      <c r="H2" s="10" t="s">
        <v>1261</v>
      </c>
    </row>
    <row r="3" spans="1:8" x14ac:dyDescent="0.2">
      <c r="A3" s="10" t="s">
        <v>483</v>
      </c>
      <c r="B3" s="10" t="s">
        <v>482</v>
      </c>
      <c r="C3" s="10" t="s">
        <v>833</v>
      </c>
      <c r="D3" s="10" t="s">
        <v>1055</v>
      </c>
      <c r="E3" s="10">
        <v>1</v>
      </c>
      <c r="F3" s="10">
        <v>6.2893081761006293E-3</v>
      </c>
      <c r="G3" s="10" t="s">
        <v>100</v>
      </c>
      <c r="H3" s="10" t="s">
        <v>1261</v>
      </c>
    </row>
    <row r="4" spans="1:8" x14ac:dyDescent="0.2">
      <c r="A4" s="10" t="s">
        <v>483</v>
      </c>
      <c r="B4" s="10" t="s">
        <v>482</v>
      </c>
      <c r="C4" s="10" t="s">
        <v>834</v>
      </c>
      <c r="D4" s="10" t="s">
        <v>1056</v>
      </c>
      <c r="E4" s="10">
        <v>1</v>
      </c>
      <c r="F4" s="10">
        <v>6.2893081761006293E-3</v>
      </c>
      <c r="G4" s="10" t="s">
        <v>100</v>
      </c>
      <c r="H4" s="10" t="s">
        <v>1261</v>
      </c>
    </row>
    <row r="5" spans="1:8" x14ac:dyDescent="0.2">
      <c r="A5" s="10" t="s">
        <v>483</v>
      </c>
      <c r="B5" s="10" t="s">
        <v>482</v>
      </c>
      <c r="C5" s="10" t="s">
        <v>835</v>
      </c>
      <c r="D5" s="10" t="s">
        <v>1057</v>
      </c>
      <c r="E5" s="10">
        <v>1</v>
      </c>
      <c r="F5" s="10">
        <v>6.2893081761006293E-3</v>
      </c>
      <c r="G5" s="10" t="s">
        <v>100</v>
      </c>
      <c r="H5" s="10" t="s">
        <v>1261</v>
      </c>
    </row>
    <row r="6" spans="1:8" x14ac:dyDescent="0.2">
      <c r="A6" s="10" t="s">
        <v>483</v>
      </c>
      <c r="B6" s="10" t="s">
        <v>482</v>
      </c>
      <c r="C6" s="10" t="s">
        <v>836</v>
      </c>
      <c r="D6" s="10" t="s">
        <v>1058</v>
      </c>
      <c r="E6" s="10">
        <v>1</v>
      </c>
      <c r="F6" s="10">
        <v>6.2893081761006293E-3</v>
      </c>
      <c r="G6" s="10" t="s">
        <v>100</v>
      </c>
      <c r="H6" s="10" t="s">
        <v>1261</v>
      </c>
    </row>
    <row r="7" spans="1:8" x14ac:dyDescent="0.2">
      <c r="A7" s="10" t="s">
        <v>483</v>
      </c>
      <c r="B7" s="10" t="s">
        <v>482</v>
      </c>
      <c r="C7" s="10" t="s">
        <v>837</v>
      </c>
      <c r="D7" s="10" t="s">
        <v>1059</v>
      </c>
      <c r="E7" s="10">
        <v>1</v>
      </c>
      <c r="F7" s="10">
        <v>6.2893081761006293E-3</v>
      </c>
      <c r="G7" s="10" t="s">
        <v>100</v>
      </c>
      <c r="H7" s="10" t="s">
        <v>1261</v>
      </c>
    </row>
    <row r="8" spans="1:8" x14ac:dyDescent="0.2">
      <c r="A8" s="10" t="s">
        <v>485</v>
      </c>
      <c r="B8" s="10" t="s">
        <v>484</v>
      </c>
      <c r="C8" s="10" t="s">
        <v>838</v>
      </c>
      <c r="E8" s="10">
        <v>1</v>
      </c>
      <c r="F8" s="10">
        <v>6.2893081761006293E-3</v>
      </c>
      <c r="G8" s="10" t="s">
        <v>100</v>
      </c>
      <c r="H8" s="10" t="s">
        <v>1261</v>
      </c>
    </row>
    <row r="9" spans="1:8" x14ac:dyDescent="0.2">
      <c r="A9" s="10" t="s">
        <v>486</v>
      </c>
      <c r="B9" s="10" t="s">
        <v>191</v>
      </c>
      <c r="C9" s="10" t="s">
        <v>839</v>
      </c>
      <c r="D9" s="10" t="s">
        <v>1060</v>
      </c>
      <c r="E9" s="10">
        <v>2</v>
      </c>
      <c r="F9" s="10">
        <v>1.2578616352201259E-2</v>
      </c>
      <c r="G9" s="10" t="s">
        <v>100</v>
      </c>
      <c r="H9" s="10" t="s">
        <v>1261</v>
      </c>
    </row>
    <row r="10" spans="1:8" x14ac:dyDescent="0.2">
      <c r="A10" s="10" t="s">
        <v>486</v>
      </c>
      <c r="B10" s="10" t="s">
        <v>191</v>
      </c>
      <c r="C10" s="10" t="s">
        <v>840</v>
      </c>
      <c r="D10" s="10" t="s">
        <v>1061</v>
      </c>
      <c r="E10" s="10">
        <v>1</v>
      </c>
      <c r="F10" s="10">
        <v>6.2893081761006293E-3</v>
      </c>
      <c r="G10" s="10" t="s">
        <v>100</v>
      </c>
      <c r="H10" s="10" t="s">
        <v>1261</v>
      </c>
    </row>
    <row r="11" spans="1:8" x14ac:dyDescent="0.2">
      <c r="A11" s="10" t="s">
        <v>486</v>
      </c>
      <c r="B11" s="10" t="s">
        <v>191</v>
      </c>
      <c r="C11" s="10" t="s">
        <v>841</v>
      </c>
      <c r="D11" s="10" t="s">
        <v>1062</v>
      </c>
      <c r="E11" s="10">
        <v>1</v>
      </c>
      <c r="F11" s="10">
        <v>6.2893081761006293E-3</v>
      </c>
      <c r="G11" s="10" t="s">
        <v>100</v>
      </c>
      <c r="H11" s="10" t="s">
        <v>1261</v>
      </c>
    </row>
    <row r="12" spans="1:8" x14ac:dyDescent="0.2">
      <c r="A12" s="10" t="s">
        <v>487</v>
      </c>
      <c r="B12" s="10" t="s">
        <v>14</v>
      </c>
      <c r="C12" s="10" t="s">
        <v>239</v>
      </c>
      <c r="D12" s="10" t="s">
        <v>240</v>
      </c>
      <c r="E12" s="10">
        <v>2</v>
      </c>
      <c r="F12" s="10">
        <v>1.2578616352201259E-2</v>
      </c>
      <c r="G12" s="10" t="s">
        <v>100</v>
      </c>
      <c r="H12" s="10" t="s">
        <v>1261</v>
      </c>
    </row>
    <row r="13" spans="1:8" x14ac:dyDescent="0.2">
      <c r="A13" s="10" t="s">
        <v>489</v>
      </c>
      <c r="B13" s="10" t="s">
        <v>488</v>
      </c>
      <c r="C13" s="10" t="s">
        <v>842</v>
      </c>
      <c r="D13" s="10" t="s">
        <v>1063</v>
      </c>
      <c r="E13" s="10">
        <v>1</v>
      </c>
      <c r="F13" s="10">
        <v>6.2893081761006293E-3</v>
      </c>
      <c r="G13" s="10" t="s">
        <v>100</v>
      </c>
      <c r="H13" s="10" t="s">
        <v>1261</v>
      </c>
    </row>
    <row r="14" spans="1:8" x14ac:dyDescent="0.2">
      <c r="A14" s="10" t="s">
        <v>491</v>
      </c>
      <c r="B14" s="10" t="s">
        <v>490</v>
      </c>
      <c r="C14" s="10" t="s">
        <v>843</v>
      </c>
      <c r="D14" s="10" t="s">
        <v>1064</v>
      </c>
      <c r="E14" s="10">
        <v>2</v>
      </c>
      <c r="F14" s="10">
        <v>1.2578616352201259E-2</v>
      </c>
      <c r="G14" s="10" t="s">
        <v>100</v>
      </c>
      <c r="H14" s="10" t="s">
        <v>1261</v>
      </c>
    </row>
    <row r="15" spans="1:8" x14ac:dyDescent="0.2">
      <c r="A15" s="10" t="s">
        <v>493</v>
      </c>
      <c r="B15" s="10" t="s">
        <v>492</v>
      </c>
      <c r="C15" s="10" t="s">
        <v>844</v>
      </c>
      <c r="D15" s="10" t="s">
        <v>1065</v>
      </c>
      <c r="E15" s="10">
        <v>2</v>
      </c>
      <c r="F15" s="10">
        <v>1.2578616352201259E-2</v>
      </c>
      <c r="G15" s="10" t="s">
        <v>100</v>
      </c>
      <c r="H15" s="10" t="s">
        <v>1261</v>
      </c>
    </row>
    <row r="16" spans="1:8" x14ac:dyDescent="0.2">
      <c r="A16" s="10" t="s">
        <v>495</v>
      </c>
      <c r="B16" s="10" t="s">
        <v>494</v>
      </c>
      <c r="C16" s="10" t="s">
        <v>845</v>
      </c>
      <c r="D16" s="10" t="s">
        <v>1066</v>
      </c>
      <c r="E16" s="10">
        <v>1</v>
      </c>
      <c r="F16" s="10">
        <v>6.2893081761006293E-3</v>
      </c>
      <c r="G16" s="10" t="s">
        <v>100</v>
      </c>
      <c r="H16" s="10" t="s">
        <v>1261</v>
      </c>
    </row>
    <row r="17" spans="1:8" x14ac:dyDescent="0.2">
      <c r="A17" s="10" t="s">
        <v>497</v>
      </c>
      <c r="B17" s="10" t="s">
        <v>496</v>
      </c>
      <c r="C17" s="10" t="s">
        <v>846</v>
      </c>
      <c r="D17" s="10" t="s">
        <v>1067</v>
      </c>
      <c r="E17" s="10">
        <v>1</v>
      </c>
      <c r="F17" s="10">
        <v>6.2893081761006293E-3</v>
      </c>
      <c r="G17" s="10" t="s">
        <v>100</v>
      </c>
      <c r="H17" s="10" t="s">
        <v>1261</v>
      </c>
    </row>
    <row r="18" spans="1:8" x14ac:dyDescent="0.2">
      <c r="A18" s="10" t="s">
        <v>499</v>
      </c>
      <c r="B18" s="10" t="s">
        <v>498</v>
      </c>
      <c r="C18" s="10" t="s">
        <v>847</v>
      </c>
      <c r="D18" s="10" t="s">
        <v>1068</v>
      </c>
      <c r="E18" s="10">
        <v>1</v>
      </c>
      <c r="F18" s="10">
        <v>6.2893081761006293E-3</v>
      </c>
      <c r="G18" s="10" t="s">
        <v>100</v>
      </c>
      <c r="H18" s="10" t="s">
        <v>1261</v>
      </c>
    </row>
    <row r="19" spans="1:8" x14ac:dyDescent="0.2">
      <c r="A19" s="10" t="s">
        <v>501</v>
      </c>
      <c r="B19" s="10" t="s">
        <v>500</v>
      </c>
      <c r="C19" s="10" t="s">
        <v>1245</v>
      </c>
      <c r="D19" s="10" t="s">
        <v>1246</v>
      </c>
      <c r="E19" s="10">
        <v>2</v>
      </c>
      <c r="F19" s="10">
        <v>1.2578616352201259E-2</v>
      </c>
      <c r="G19" s="10" t="s">
        <v>100</v>
      </c>
      <c r="H19" s="10" t="s">
        <v>1261</v>
      </c>
    </row>
    <row r="20" spans="1:8" x14ac:dyDescent="0.2">
      <c r="A20" s="10" t="s">
        <v>503</v>
      </c>
      <c r="B20" s="10" t="s">
        <v>502</v>
      </c>
      <c r="C20" s="10" t="s">
        <v>848</v>
      </c>
      <c r="D20" s="10" t="s">
        <v>1069</v>
      </c>
      <c r="E20" s="10">
        <v>1</v>
      </c>
      <c r="F20" s="10">
        <v>6.2893081761006293E-3</v>
      </c>
      <c r="G20" s="10" t="s">
        <v>100</v>
      </c>
      <c r="H20" s="10" t="s">
        <v>1261</v>
      </c>
    </row>
    <row r="21" spans="1:8" x14ac:dyDescent="0.2">
      <c r="A21" s="10" t="s">
        <v>505</v>
      </c>
      <c r="B21" s="10" t="s">
        <v>504</v>
      </c>
      <c r="C21" s="10" t="s">
        <v>849</v>
      </c>
      <c r="D21" s="10" t="s">
        <v>1070</v>
      </c>
      <c r="E21" s="10">
        <v>1</v>
      </c>
      <c r="F21" s="10">
        <v>6.2893081761006293E-3</v>
      </c>
      <c r="G21" s="10" t="s">
        <v>100</v>
      </c>
      <c r="H21" s="10" t="s">
        <v>1261</v>
      </c>
    </row>
    <row r="22" spans="1:8" x14ac:dyDescent="0.2">
      <c r="A22" s="10" t="s">
        <v>507</v>
      </c>
      <c r="B22" s="10" t="s">
        <v>506</v>
      </c>
      <c r="C22" s="10" t="s">
        <v>850</v>
      </c>
      <c r="D22" s="10" t="s">
        <v>1071</v>
      </c>
      <c r="E22" s="10">
        <v>1</v>
      </c>
      <c r="F22" s="10">
        <v>6.2893081761006293E-3</v>
      </c>
      <c r="G22" s="10" t="s">
        <v>100</v>
      </c>
      <c r="H22" s="10" t="s">
        <v>1261</v>
      </c>
    </row>
    <row r="23" spans="1:8" x14ac:dyDescent="0.2">
      <c r="A23" s="10" t="s">
        <v>508</v>
      </c>
      <c r="B23" s="10" t="s">
        <v>328</v>
      </c>
      <c r="C23" s="10" t="s">
        <v>330</v>
      </c>
      <c r="D23" s="10" t="s">
        <v>1072</v>
      </c>
      <c r="E23" s="10">
        <v>1</v>
      </c>
      <c r="F23" s="10">
        <v>6.2893081761006293E-3</v>
      </c>
      <c r="G23" s="10" t="s">
        <v>100</v>
      </c>
      <c r="H23" s="10" t="s">
        <v>1261</v>
      </c>
    </row>
    <row r="24" spans="1:8" x14ac:dyDescent="0.2">
      <c r="A24" s="10" t="s">
        <v>508</v>
      </c>
      <c r="B24" s="10" t="s">
        <v>328</v>
      </c>
      <c r="C24" s="10" t="s">
        <v>851</v>
      </c>
      <c r="D24" s="10" t="s">
        <v>1073</v>
      </c>
      <c r="E24" s="10">
        <v>1</v>
      </c>
      <c r="F24" s="10">
        <v>6.2893081761006293E-3</v>
      </c>
      <c r="G24" s="10" t="s">
        <v>100</v>
      </c>
      <c r="H24" s="10" t="s">
        <v>1261</v>
      </c>
    </row>
    <row r="25" spans="1:8" x14ac:dyDescent="0.2">
      <c r="A25" s="10" t="s">
        <v>509</v>
      </c>
      <c r="B25" s="10" t="s">
        <v>356</v>
      </c>
      <c r="C25" s="10" t="s">
        <v>852</v>
      </c>
      <c r="E25" s="10">
        <v>1</v>
      </c>
      <c r="F25" s="10">
        <v>6.2893081761006293E-3</v>
      </c>
      <c r="G25" s="10" t="s">
        <v>100</v>
      </c>
      <c r="H25" s="10" t="s">
        <v>1261</v>
      </c>
    </row>
    <row r="26" spans="1:8" x14ac:dyDescent="0.2">
      <c r="A26" s="10" t="s">
        <v>511</v>
      </c>
      <c r="B26" s="10" t="s">
        <v>510</v>
      </c>
      <c r="C26" s="10" t="s">
        <v>853</v>
      </c>
      <c r="D26" s="10" t="s">
        <v>1074</v>
      </c>
      <c r="E26" s="10">
        <v>1</v>
      </c>
      <c r="F26" s="10">
        <v>6.2893081761006293E-3</v>
      </c>
      <c r="G26" s="10" t="s">
        <v>100</v>
      </c>
      <c r="H26" s="10" t="s">
        <v>1261</v>
      </c>
    </row>
    <row r="27" spans="1:8" x14ac:dyDescent="0.2">
      <c r="A27" s="10" t="s">
        <v>513</v>
      </c>
      <c r="B27" s="10" t="s">
        <v>512</v>
      </c>
      <c r="C27" s="10" t="s">
        <v>854</v>
      </c>
      <c r="E27" s="10">
        <v>1</v>
      </c>
      <c r="F27" s="10">
        <v>6.2893081761006293E-3</v>
      </c>
      <c r="G27" s="10" t="s">
        <v>100</v>
      </c>
      <c r="H27" s="10" t="s">
        <v>1261</v>
      </c>
    </row>
    <row r="28" spans="1:8" x14ac:dyDescent="0.2">
      <c r="A28" s="10" t="s">
        <v>514</v>
      </c>
      <c r="B28" s="10" t="s">
        <v>390</v>
      </c>
      <c r="C28" s="10" t="s">
        <v>855</v>
      </c>
      <c r="D28" s="10" t="s">
        <v>1075</v>
      </c>
      <c r="E28" s="10">
        <v>1</v>
      </c>
      <c r="F28" s="10">
        <v>6.2893081761006293E-3</v>
      </c>
      <c r="G28" s="10" t="s">
        <v>100</v>
      </c>
      <c r="H28" s="10" t="s">
        <v>1261</v>
      </c>
    </row>
    <row r="29" spans="1:8" x14ac:dyDescent="0.2">
      <c r="A29" s="10" t="s">
        <v>516</v>
      </c>
      <c r="B29" s="10" t="s">
        <v>515</v>
      </c>
      <c r="C29" s="10" t="s">
        <v>856</v>
      </c>
      <c r="D29" s="10" t="s">
        <v>1076</v>
      </c>
      <c r="E29" s="10">
        <v>1</v>
      </c>
      <c r="F29" s="10">
        <v>6.2893081761006293E-3</v>
      </c>
      <c r="G29" s="10" t="s">
        <v>100</v>
      </c>
      <c r="H29" s="10" t="s">
        <v>1261</v>
      </c>
    </row>
    <row r="30" spans="1:8" x14ac:dyDescent="0.2">
      <c r="A30" s="10" t="s">
        <v>518</v>
      </c>
      <c r="B30" s="10" t="s">
        <v>517</v>
      </c>
      <c r="C30" s="10" t="s">
        <v>857</v>
      </c>
      <c r="D30" s="10" t="s">
        <v>1077</v>
      </c>
      <c r="E30" s="10">
        <v>1</v>
      </c>
      <c r="F30" s="10">
        <v>6.2893081761006293E-3</v>
      </c>
      <c r="G30" s="10" t="s">
        <v>100</v>
      </c>
      <c r="H30" s="10" t="s">
        <v>1261</v>
      </c>
    </row>
    <row r="31" spans="1:8" x14ac:dyDescent="0.2">
      <c r="A31" s="10" t="s">
        <v>520</v>
      </c>
      <c r="B31" s="10" t="s">
        <v>519</v>
      </c>
      <c r="C31" s="10" t="s">
        <v>858</v>
      </c>
      <c r="D31" s="10" t="s">
        <v>1078</v>
      </c>
      <c r="E31" s="10">
        <v>1</v>
      </c>
      <c r="F31" s="10">
        <v>6.2893081761006293E-3</v>
      </c>
      <c r="G31" s="10" t="s">
        <v>100</v>
      </c>
      <c r="H31" s="10" t="s">
        <v>1261</v>
      </c>
    </row>
    <row r="32" spans="1:8" x14ac:dyDescent="0.2">
      <c r="A32" s="10" t="s">
        <v>522</v>
      </c>
      <c r="B32" s="10" t="s">
        <v>521</v>
      </c>
      <c r="C32" s="10" t="s">
        <v>859</v>
      </c>
      <c r="D32" s="10" t="s">
        <v>1079</v>
      </c>
      <c r="E32" s="10">
        <v>1</v>
      </c>
      <c r="F32" s="10">
        <v>6.2893081761006293E-3</v>
      </c>
      <c r="G32" s="10" t="s">
        <v>100</v>
      </c>
      <c r="H32" s="10" t="s">
        <v>1261</v>
      </c>
    </row>
    <row r="33" spans="1:8" x14ac:dyDescent="0.2">
      <c r="A33" s="10" t="s">
        <v>524</v>
      </c>
      <c r="B33" s="10" t="s">
        <v>523</v>
      </c>
      <c r="C33" s="10" t="s">
        <v>860</v>
      </c>
      <c r="E33" s="10">
        <v>1</v>
      </c>
      <c r="F33" s="10">
        <v>6.2893081761006293E-3</v>
      </c>
      <c r="G33" s="10" t="s">
        <v>100</v>
      </c>
      <c r="H33" s="10" t="s">
        <v>1261</v>
      </c>
    </row>
    <row r="34" spans="1:8" x14ac:dyDescent="0.2">
      <c r="A34" s="10" t="s">
        <v>186</v>
      </c>
      <c r="B34" s="10" t="s">
        <v>412</v>
      </c>
      <c r="C34" s="10" t="s">
        <v>861</v>
      </c>
      <c r="D34" s="10" t="s">
        <v>1080</v>
      </c>
      <c r="E34" s="10">
        <v>2</v>
      </c>
      <c r="F34" s="10">
        <v>1.2578616352201259E-2</v>
      </c>
      <c r="G34" s="10" t="s">
        <v>100</v>
      </c>
      <c r="H34" s="10" t="s">
        <v>1261</v>
      </c>
    </row>
    <row r="35" spans="1:8" x14ac:dyDescent="0.2">
      <c r="A35" s="10" t="s">
        <v>186</v>
      </c>
      <c r="B35" s="10" t="s">
        <v>412</v>
      </c>
      <c r="C35" s="10" t="s">
        <v>862</v>
      </c>
      <c r="D35" s="10" t="s">
        <v>1081</v>
      </c>
      <c r="E35" s="10">
        <v>1</v>
      </c>
      <c r="F35" s="10">
        <v>6.2893081761006293E-3</v>
      </c>
      <c r="G35" s="10" t="s">
        <v>100</v>
      </c>
      <c r="H35" s="10" t="s">
        <v>1261</v>
      </c>
    </row>
    <row r="36" spans="1:8" x14ac:dyDescent="0.2">
      <c r="A36" s="10" t="s">
        <v>526</v>
      </c>
      <c r="B36" s="10" t="s">
        <v>525</v>
      </c>
      <c r="C36" s="10" t="s">
        <v>863</v>
      </c>
      <c r="D36" s="10" t="s">
        <v>1082</v>
      </c>
      <c r="E36" s="10">
        <v>1</v>
      </c>
      <c r="F36" s="10">
        <v>6.2893081761006293E-3</v>
      </c>
      <c r="G36" s="10" t="s">
        <v>100</v>
      </c>
      <c r="H36" s="10" t="s">
        <v>1261</v>
      </c>
    </row>
    <row r="37" spans="1:8" x14ac:dyDescent="0.2">
      <c r="A37" s="10" t="s">
        <v>527</v>
      </c>
      <c r="B37" s="10" t="s">
        <v>397</v>
      </c>
      <c r="C37" s="10" t="s">
        <v>399</v>
      </c>
      <c r="D37" s="10" t="s">
        <v>470</v>
      </c>
      <c r="E37" s="10">
        <v>2</v>
      </c>
      <c r="F37" s="10">
        <v>1.2578616352201259E-2</v>
      </c>
      <c r="G37" s="10" t="s">
        <v>100</v>
      </c>
      <c r="H37" s="10" t="s">
        <v>1261</v>
      </c>
    </row>
    <row r="38" spans="1:8" x14ac:dyDescent="0.2">
      <c r="A38" s="10" t="s">
        <v>527</v>
      </c>
      <c r="B38" s="10" t="s">
        <v>528</v>
      </c>
      <c r="C38" s="10" t="s">
        <v>864</v>
      </c>
      <c r="D38" s="10" t="s">
        <v>1083</v>
      </c>
      <c r="E38" s="10">
        <v>1</v>
      </c>
      <c r="F38" s="10">
        <v>6.2893081761006293E-3</v>
      </c>
      <c r="G38" s="10" t="s">
        <v>100</v>
      </c>
      <c r="H38" s="10" t="s">
        <v>1261</v>
      </c>
    </row>
    <row r="39" spans="1:8" x14ac:dyDescent="0.2">
      <c r="A39" s="10" t="s">
        <v>530</v>
      </c>
      <c r="B39" s="10" t="s">
        <v>529</v>
      </c>
      <c r="C39" s="10" t="s">
        <v>865</v>
      </c>
      <c r="D39" s="10" t="s">
        <v>1084</v>
      </c>
      <c r="E39" s="10">
        <v>1</v>
      </c>
      <c r="F39" s="10">
        <v>6.2893081761006293E-3</v>
      </c>
      <c r="G39" s="10" t="s">
        <v>100</v>
      </c>
      <c r="H39" s="10" t="s">
        <v>1261</v>
      </c>
    </row>
    <row r="40" spans="1:8" x14ac:dyDescent="0.2">
      <c r="A40" s="10" t="s">
        <v>532</v>
      </c>
      <c r="B40" s="10" t="s">
        <v>531</v>
      </c>
      <c r="C40" s="10" t="s">
        <v>866</v>
      </c>
      <c r="D40" s="10" t="s">
        <v>1085</v>
      </c>
      <c r="E40" s="10">
        <v>1</v>
      </c>
      <c r="F40" s="10">
        <v>6.2893081761006293E-3</v>
      </c>
      <c r="G40" s="10" t="s">
        <v>100</v>
      </c>
      <c r="H40" s="10" t="s">
        <v>1261</v>
      </c>
    </row>
    <row r="41" spans="1:8" x14ac:dyDescent="0.2">
      <c r="A41" s="10" t="s">
        <v>532</v>
      </c>
      <c r="B41" s="10" t="s">
        <v>531</v>
      </c>
      <c r="C41" s="10" t="s">
        <v>867</v>
      </c>
      <c r="D41" s="10" t="s">
        <v>1086</v>
      </c>
      <c r="E41" s="10">
        <v>1</v>
      </c>
      <c r="F41" s="10">
        <v>6.2893081761006293E-3</v>
      </c>
      <c r="G41" s="10" t="s">
        <v>100</v>
      </c>
      <c r="H41" s="10" t="s">
        <v>1261</v>
      </c>
    </row>
    <row r="42" spans="1:8" x14ac:dyDescent="0.2">
      <c r="A42" s="10" t="s">
        <v>6</v>
      </c>
      <c r="B42" s="10" t="s">
        <v>7</v>
      </c>
      <c r="C42" s="10" t="s">
        <v>868</v>
      </c>
      <c r="D42" s="10" t="s">
        <v>1087</v>
      </c>
      <c r="E42" s="10">
        <v>14</v>
      </c>
      <c r="F42" s="10">
        <v>8.8050314465408799E-2</v>
      </c>
      <c r="G42" s="10" t="s">
        <v>100</v>
      </c>
      <c r="H42" s="10" t="s">
        <v>1261</v>
      </c>
    </row>
    <row r="43" spans="1:8" x14ac:dyDescent="0.2">
      <c r="A43" s="10" t="s">
        <v>6</v>
      </c>
      <c r="B43" s="10" t="s">
        <v>7</v>
      </c>
      <c r="C43" s="10" t="s">
        <v>868</v>
      </c>
      <c r="D43" s="10" t="s">
        <v>1087</v>
      </c>
      <c r="E43" s="10">
        <v>2</v>
      </c>
      <c r="F43" s="10">
        <v>1.2578616352201259E-2</v>
      </c>
      <c r="G43" s="10" t="s">
        <v>100</v>
      </c>
      <c r="H43" s="10" t="s">
        <v>1261</v>
      </c>
    </row>
    <row r="44" spans="1:8" x14ac:dyDescent="0.2">
      <c r="A44" s="10" t="s">
        <v>534</v>
      </c>
      <c r="B44" s="10" t="s">
        <v>533</v>
      </c>
      <c r="C44" s="10" t="s">
        <v>869</v>
      </c>
      <c r="D44" s="10" t="s">
        <v>1088</v>
      </c>
      <c r="E44" s="10">
        <v>1</v>
      </c>
      <c r="F44" s="10">
        <v>6.2893081761006293E-3</v>
      </c>
      <c r="G44" s="10" t="s">
        <v>100</v>
      </c>
      <c r="H44" s="10" t="s">
        <v>1261</v>
      </c>
    </row>
    <row r="45" spans="1:8" x14ac:dyDescent="0.2">
      <c r="A45" s="10" t="s">
        <v>536</v>
      </c>
      <c r="B45" s="10" t="s">
        <v>535</v>
      </c>
      <c r="C45" s="10" t="s">
        <v>870</v>
      </c>
      <c r="D45" s="10" t="s">
        <v>1089</v>
      </c>
      <c r="E45" s="10">
        <v>1</v>
      </c>
      <c r="F45" s="10">
        <v>6.2893081761006293E-3</v>
      </c>
      <c r="G45" s="10" t="s">
        <v>100</v>
      </c>
      <c r="H45" s="10" t="s">
        <v>1261</v>
      </c>
    </row>
    <row r="46" spans="1:8" x14ac:dyDescent="0.2">
      <c r="A46" s="10" t="s">
        <v>538</v>
      </c>
      <c r="B46" s="10" t="s">
        <v>537</v>
      </c>
      <c r="C46" s="10" t="s">
        <v>871</v>
      </c>
      <c r="D46" s="10" t="s">
        <v>1090</v>
      </c>
      <c r="E46" s="10">
        <v>1</v>
      </c>
      <c r="F46" s="10">
        <v>6.2893081761006293E-3</v>
      </c>
      <c r="G46" s="10" t="s">
        <v>100</v>
      </c>
      <c r="H46" s="10" t="s">
        <v>1261</v>
      </c>
    </row>
    <row r="47" spans="1:8" x14ac:dyDescent="0.2">
      <c r="A47" s="10" t="s">
        <v>540</v>
      </c>
      <c r="B47" s="10" t="s">
        <v>539</v>
      </c>
      <c r="C47" s="10" t="s">
        <v>285</v>
      </c>
      <c r="D47" s="10" t="s">
        <v>1091</v>
      </c>
      <c r="E47" s="10">
        <v>1</v>
      </c>
      <c r="F47" s="10">
        <v>6.2893081761006293E-3</v>
      </c>
      <c r="G47" s="10" t="s">
        <v>100</v>
      </c>
      <c r="H47" s="10" t="s">
        <v>1261</v>
      </c>
    </row>
    <row r="48" spans="1:8" x14ac:dyDescent="0.2">
      <c r="A48" s="10" t="s">
        <v>540</v>
      </c>
      <c r="B48" s="10" t="s">
        <v>539</v>
      </c>
      <c r="C48" s="10" t="s">
        <v>872</v>
      </c>
      <c r="D48" s="10" t="s">
        <v>1092</v>
      </c>
      <c r="E48" s="10">
        <v>1</v>
      </c>
      <c r="F48" s="10">
        <v>6.2893081761006293E-3</v>
      </c>
      <c r="G48" s="10" t="s">
        <v>100</v>
      </c>
      <c r="H48" s="10" t="s">
        <v>1261</v>
      </c>
    </row>
    <row r="49" spans="1:8" x14ac:dyDescent="0.2">
      <c r="A49" s="10" t="s">
        <v>542</v>
      </c>
      <c r="B49" s="10" t="s">
        <v>541</v>
      </c>
      <c r="C49" s="10" t="s">
        <v>873</v>
      </c>
      <c r="D49" s="10" t="s">
        <v>1093</v>
      </c>
      <c r="E49" s="10">
        <v>1</v>
      </c>
      <c r="F49" s="10">
        <v>6.2893081761006293E-3</v>
      </c>
      <c r="G49" s="10" t="s">
        <v>100</v>
      </c>
      <c r="H49" s="10" t="s">
        <v>1261</v>
      </c>
    </row>
    <row r="50" spans="1:8" x14ac:dyDescent="0.2">
      <c r="A50" s="10" t="s">
        <v>542</v>
      </c>
      <c r="B50" s="10" t="s">
        <v>541</v>
      </c>
      <c r="C50" s="10" t="s">
        <v>874</v>
      </c>
      <c r="D50" s="10" t="s">
        <v>1094</v>
      </c>
      <c r="E50" s="10">
        <v>1</v>
      </c>
      <c r="F50" s="10">
        <v>6.2893081761006293E-3</v>
      </c>
      <c r="G50" s="10" t="s">
        <v>100</v>
      </c>
      <c r="H50" s="10" t="s">
        <v>1261</v>
      </c>
    </row>
    <row r="51" spans="1:8" x14ac:dyDescent="0.2">
      <c r="A51" s="10" t="s">
        <v>544</v>
      </c>
      <c r="B51" s="10" t="s">
        <v>543</v>
      </c>
      <c r="C51" s="10" t="s">
        <v>875</v>
      </c>
      <c r="D51" s="10" t="s">
        <v>1095</v>
      </c>
      <c r="E51" s="10">
        <v>1</v>
      </c>
      <c r="F51" s="10">
        <v>6.2893081761006293E-3</v>
      </c>
      <c r="G51" s="10" t="s">
        <v>100</v>
      </c>
      <c r="H51" s="10" t="s">
        <v>1261</v>
      </c>
    </row>
    <row r="52" spans="1:8" x14ac:dyDescent="0.2">
      <c r="A52" s="10" t="s">
        <v>509</v>
      </c>
      <c r="B52" s="10" t="s">
        <v>545</v>
      </c>
      <c r="C52" s="10" t="s">
        <v>876</v>
      </c>
      <c r="D52" s="10" t="s">
        <v>1096</v>
      </c>
      <c r="E52" s="10">
        <v>1</v>
      </c>
      <c r="F52" s="10">
        <v>6.2893081761006293E-3</v>
      </c>
      <c r="G52" s="10" t="s">
        <v>100</v>
      </c>
      <c r="H52" s="10" t="s">
        <v>1261</v>
      </c>
    </row>
    <row r="53" spans="1:8" x14ac:dyDescent="0.2">
      <c r="A53" s="10" t="s">
        <v>547</v>
      </c>
      <c r="B53" s="10" t="s">
        <v>546</v>
      </c>
      <c r="C53" s="10" t="s">
        <v>877</v>
      </c>
      <c r="D53" s="10" t="s">
        <v>1097</v>
      </c>
      <c r="E53" s="10">
        <v>1</v>
      </c>
      <c r="F53" s="10">
        <v>6.2893081761006293E-3</v>
      </c>
      <c r="G53" s="10" t="s">
        <v>100</v>
      </c>
      <c r="H53" s="10" t="s">
        <v>1261</v>
      </c>
    </row>
    <row r="54" spans="1:8" x14ac:dyDescent="0.2">
      <c r="A54" s="10" t="s">
        <v>8</v>
      </c>
      <c r="B54" s="10" t="s">
        <v>9</v>
      </c>
      <c r="C54" s="10" t="s">
        <v>51</v>
      </c>
      <c r="D54" s="10" t="s">
        <v>1098</v>
      </c>
      <c r="E54" s="10">
        <v>1</v>
      </c>
      <c r="F54" s="10">
        <v>6.2893081761006293E-3</v>
      </c>
      <c r="G54" s="10" t="s">
        <v>100</v>
      </c>
      <c r="H54" s="10" t="s">
        <v>1261</v>
      </c>
    </row>
    <row r="55" spans="1:8" x14ac:dyDescent="0.2">
      <c r="A55" s="10" t="s">
        <v>8</v>
      </c>
      <c r="B55" s="10" t="s">
        <v>9</v>
      </c>
      <c r="C55" s="10" t="s">
        <v>878</v>
      </c>
      <c r="D55" s="10" t="s">
        <v>421</v>
      </c>
      <c r="E55" s="10">
        <v>4</v>
      </c>
      <c r="F55" s="10">
        <v>2.5157232704402517E-2</v>
      </c>
      <c r="G55" s="10" t="s">
        <v>100</v>
      </c>
      <c r="H55" s="10" t="s">
        <v>1261</v>
      </c>
    </row>
    <row r="56" spans="1:8" x14ac:dyDescent="0.2">
      <c r="A56" s="10" t="s">
        <v>8</v>
      </c>
      <c r="B56" s="10" t="s">
        <v>9</v>
      </c>
      <c r="C56" s="10" t="s">
        <v>879</v>
      </c>
      <c r="E56" s="10">
        <v>1</v>
      </c>
      <c r="F56" s="10">
        <v>6.2893081761006293E-3</v>
      </c>
      <c r="G56" s="10" t="s">
        <v>100</v>
      </c>
      <c r="H56" s="10" t="s">
        <v>1261</v>
      </c>
    </row>
    <row r="57" spans="1:8" x14ac:dyDescent="0.2">
      <c r="A57" s="10" t="s">
        <v>549</v>
      </c>
      <c r="B57" s="10" t="s">
        <v>548</v>
      </c>
      <c r="C57" s="10" t="s">
        <v>880</v>
      </c>
      <c r="D57" s="10" t="s">
        <v>1099</v>
      </c>
      <c r="E57" s="10">
        <v>1</v>
      </c>
      <c r="F57" s="10">
        <v>6.2893081761006293E-3</v>
      </c>
      <c r="G57" s="10" t="s">
        <v>100</v>
      </c>
      <c r="H57" s="10" t="s">
        <v>1261</v>
      </c>
    </row>
    <row r="58" spans="1:8" x14ac:dyDescent="0.2">
      <c r="A58" s="10" t="s">
        <v>551</v>
      </c>
      <c r="B58" s="10" t="s">
        <v>550</v>
      </c>
      <c r="C58" s="10" t="s">
        <v>881</v>
      </c>
      <c r="D58" s="10" t="s">
        <v>1100</v>
      </c>
      <c r="E58" s="10">
        <v>1</v>
      </c>
      <c r="F58" s="10">
        <v>6.2893081761006293E-3</v>
      </c>
      <c r="G58" s="10" t="s">
        <v>100</v>
      </c>
      <c r="H58" s="10" t="s">
        <v>1261</v>
      </c>
    </row>
    <row r="59" spans="1:8" x14ac:dyDescent="0.2">
      <c r="A59" s="10" t="s">
        <v>553</v>
      </c>
      <c r="B59" s="10" t="s">
        <v>552</v>
      </c>
      <c r="C59" s="10" t="s">
        <v>882</v>
      </c>
      <c r="E59" s="10">
        <v>1</v>
      </c>
      <c r="F59" s="10">
        <v>6.2893081761006293E-3</v>
      </c>
      <c r="G59" s="10" t="s">
        <v>100</v>
      </c>
      <c r="H59" s="10" t="s">
        <v>1261</v>
      </c>
    </row>
    <row r="60" spans="1:8" x14ac:dyDescent="0.2">
      <c r="A60" s="10" t="s">
        <v>553</v>
      </c>
      <c r="B60" s="10" t="s">
        <v>552</v>
      </c>
      <c r="C60" s="10" t="s">
        <v>883</v>
      </c>
      <c r="D60" s="10" t="s">
        <v>1101</v>
      </c>
      <c r="E60" s="10">
        <v>1</v>
      </c>
      <c r="F60" s="10">
        <v>6.2893081761006293E-3</v>
      </c>
      <c r="G60" s="10" t="s">
        <v>100</v>
      </c>
      <c r="H60" s="10" t="s">
        <v>1261</v>
      </c>
    </row>
    <row r="61" spans="1:8" x14ac:dyDescent="0.2">
      <c r="A61" s="10" t="s">
        <v>555</v>
      </c>
      <c r="B61" s="10" t="s">
        <v>554</v>
      </c>
      <c r="C61" s="10" t="s">
        <v>884</v>
      </c>
      <c r="D61" s="10" t="s">
        <v>1102</v>
      </c>
      <c r="E61" s="10">
        <v>1</v>
      </c>
      <c r="F61" s="10">
        <v>6.2893081761006293E-3</v>
      </c>
      <c r="G61" s="10" t="s">
        <v>100</v>
      </c>
      <c r="H61" s="10" t="s">
        <v>1261</v>
      </c>
    </row>
    <row r="62" spans="1:8" x14ac:dyDescent="0.2">
      <c r="A62" s="10" t="s">
        <v>522</v>
      </c>
      <c r="B62" s="10" t="s">
        <v>556</v>
      </c>
      <c r="C62" s="10" t="s">
        <v>885</v>
      </c>
      <c r="D62" s="10" t="s">
        <v>1103</v>
      </c>
      <c r="E62" s="10">
        <v>3</v>
      </c>
      <c r="F62" s="10">
        <v>1.8867924528301886E-2</v>
      </c>
      <c r="G62" s="10" t="s">
        <v>100</v>
      </c>
      <c r="H62" s="10" t="s">
        <v>1261</v>
      </c>
    </row>
    <row r="63" spans="1:8" x14ac:dyDescent="0.2">
      <c r="A63" s="10" t="s">
        <v>558</v>
      </c>
      <c r="B63" s="10" t="s">
        <v>557</v>
      </c>
      <c r="C63" s="10" t="s">
        <v>1247</v>
      </c>
      <c r="D63" s="10" t="s">
        <v>1248</v>
      </c>
      <c r="E63" s="10">
        <v>1</v>
      </c>
      <c r="F63" s="10">
        <v>6.2893081761006293E-3</v>
      </c>
      <c r="G63" s="10" t="s">
        <v>100</v>
      </c>
      <c r="H63" s="10" t="s">
        <v>1261</v>
      </c>
    </row>
    <row r="64" spans="1:8" x14ac:dyDescent="0.2">
      <c r="A64" s="10" t="s">
        <v>560</v>
      </c>
      <c r="B64" s="10" t="s">
        <v>559</v>
      </c>
      <c r="C64" s="10" t="s">
        <v>886</v>
      </c>
      <c r="E64" s="10">
        <v>1</v>
      </c>
      <c r="F64" s="10">
        <v>6.2893081761006293E-3</v>
      </c>
      <c r="G64" s="10" t="s">
        <v>100</v>
      </c>
      <c r="H64" s="10" t="s">
        <v>1261</v>
      </c>
    </row>
    <row r="65" spans="1:8" x14ac:dyDescent="0.2">
      <c r="A65" s="10" t="s">
        <v>562</v>
      </c>
      <c r="B65" s="10" t="s">
        <v>561</v>
      </c>
      <c r="C65" s="10" t="s">
        <v>887</v>
      </c>
      <c r="E65" s="10">
        <v>1</v>
      </c>
      <c r="F65" s="10">
        <v>6.2893081761006293E-3</v>
      </c>
      <c r="G65" s="10" t="s">
        <v>100</v>
      </c>
      <c r="H65" s="10" t="s">
        <v>1261</v>
      </c>
    </row>
    <row r="66" spans="1:8" x14ac:dyDescent="0.2">
      <c r="A66" s="10" t="s">
        <v>564</v>
      </c>
      <c r="B66" s="10" t="s">
        <v>563</v>
      </c>
      <c r="C66" s="10" t="s">
        <v>888</v>
      </c>
      <c r="E66" s="10">
        <v>1</v>
      </c>
      <c r="F66" s="10">
        <v>6.2893081761006293E-3</v>
      </c>
      <c r="G66" s="10" t="s">
        <v>100</v>
      </c>
      <c r="H66" s="10" t="s">
        <v>1261</v>
      </c>
    </row>
    <row r="67" spans="1:8" x14ac:dyDescent="0.2">
      <c r="A67" s="10" t="s">
        <v>565</v>
      </c>
      <c r="B67" s="10" t="s">
        <v>16</v>
      </c>
      <c r="C67" s="10" t="s">
        <v>889</v>
      </c>
      <c r="D67" s="10" t="s">
        <v>1104</v>
      </c>
      <c r="E67" s="10">
        <v>2</v>
      </c>
      <c r="F67" s="10">
        <v>1.2578616352201259E-2</v>
      </c>
      <c r="G67" s="10" t="s">
        <v>100</v>
      </c>
      <c r="H67" s="10" t="s">
        <v>1261</v>
      </c>
    </row>
    <row r="68" spans="1:8" x14ac:dyDescent="0.2">
      <c r="A68" s="10" t="s">
        <v>567</v>
      </c>
      <c r="B68" s="10" t="s">
        <v>566</v>
      </c>
      <c r="C68" s="10" t="s">
        <v>890</v>
      </c>
      <c r="D68" s="10" t="s">
        <v>1105</v>
      </c>
      <c r="E68" s="10">
        <v>2</v>
      </c>
      <c r="F68" s="10">
        <v>1.2578616352201259E-2</v>
      </c>
      <c r="G68" s="10" t="s">
        <v>100</v>
      </c>
      <c r="H68" s="10" t="s">
        <v>1261</v>
      </c>
    </row>
    <row r="69" spans="1:8" x14ac:dyDescent="0.2">
      <c r="A69" s="10" t="s">
        <v>569</v>
      </c>
      <c r="B69" s="10" t="s">
        <v>568</v>
      </c>
      <c r="C69" s="10" t="s">
        <v>891</v>
      </c>
      <c r="D69" s="10" t="s">
        <v>1106</v>
      </c>
      <c r="E69" s="10">
        <v>1</v>
      </c>
      <c r="F69" s="10">
        <v>6.2893081761006293E-3</v>
      </c>
      <c r="G69" s="10" t="s">
        <v>100</v>
      </c>
      <c r="H69" s="10" t="s">
        <v>1261</v>
      </c>
    </row>
    <row r="70" spans="1:8" x14ac:dyDescent="0.2">
      <c r="A70" s="10" t="s">
        <v>571</v>
      </c>
      <c r="B70" s="10" t="s">
        <v>570</v>
      </c>
      <c r="C70" s="10" t="s">
        <v>64</v>
      </c>
      <c r="D70" s="10" t="s">
        <v>1107</v>
      </c>
      <c r="E70" s="10">
        <v>1</v>
      </c>
      <c r="F70" s="10">
        <v>6.2893081761006293E-3</v>
      </c>
      <c r="G70" s="10" t="s">
        <v>100</v>
      </c>
      <c r="H70" s="10" t="s">
        <v>1261</v>
      </c>
    </row>
    <row r="71" spans="1:8" x14ac:dyDescent="0.2">
      <c r="A71" s="10" t="s">
        <v>573</v>
      </c>
      <c r="B71" s="10" t="s">
        <v>572</v>
      </c>
      <c r="C71" s="10" t="s">
        <v>892</v>
      </c>
      <c r="D71" s="10" t="s">
        <v>1108</v>
      </c>
      <c r="E71" s="10">
        <v>1</v>
      </c>
      <c r="F71" s="10">
        <v>6.2893081761006293E-3</v>
      </c>
      <c r="G71" s="10" t="s">
        <v>100</v>
      </c>
      <c r="H71" s="10" t="s">
        <v>1261</v>
      </c>
    </row>
    <row r="72" spans="1:8" x14ac:dyDescent="0.2">
      <c r="A72" s="10" t="s">
        <v>575</v>
      </c>
      <c r="B72" s="10" t="s">
        <v>574</v>
      </c>
      <c r="C72" s="10" t="s">
        <v>893</v>
      </c>
      <c r="D72" s="10" t="s">
        <v>1109</v>
      </c>
      <c r="E72" s="10">
        <v>1</v>
      </c>
      <c r="F72" s="10">
        <v>6.2893081761006293E-3</v>
      </c>
      <c r="G72" s="10" t="s">
        <v>100</v>
      </c>
      <c r="H72" s="10" t="s">
        <v>1261</v>
      </c>
    </row>
    <row r="73" spans="1:8" x14ac:dyDescent="0.2">
      <c r="A73" s="10" t="s">
        <v>577</v>
      </c>
      <c r="B73" s="10" t="s">
        <v>576</v>
      </c>
      <c r="C73" s="10" t="s">
        <v>894</v>
      </c>
      <c r="D73" s="10" t="s">
        <v>1110</v>
      </c>
      <c r="E73" s="10">
        <v>1</v>
      </c>
      <c r="F73" s="10">
        <v>6.2893081761006293E-3</v>
      </c>
      <c r="G73" s="10" t="s">
        <v>100</v>
      </c>
      <c r="H73" s="10" t="s">
        <v>1261</v>
      </c>
    </row>
    <row r="74" spans="1:8" x14ac:dyDescent="0.2">
      <c r="A74" s="10" t="s">
        <v>577</v>
      </c>
      <c r="B74" s="10" t="s">
        <v>576</v>
      </c>
      <c r="C74" s="10" t="s">
        <v>895</v>
      </c>
      <c r="E74" s="10">
        <v>1</v>
      </c>
      <c r="F74" s="10">
        <v>6.2893081761006293E-3</v>
      </c>
      <c r="G74" s="10" t="s">
        <v>100</v>
      </c>
      <c r="H74" s="10" t="s">
        <v>1261</v>
      </c>
    </row>
    <row r="75" spans="1:8" x14ac:dyDescent="0.2">
      <c r="A75" s="10" t="s">
        <v>530</v>
      </c>
      <c r="B75" s="10" t="s">
        <v>578</v>
      </c>
      <c r="C75" s="10" t="s">
        <v>896</v>
      </c>
      <c r="D75" s="10" t="s">
        <v>1111</v>
      </c>
      <c r="E75" s="10">
        <v>1</v>
      </c>
      <c r="F75" s="10">
        <v>6.2893081761006293E-3</v>
      </c>
      <c r="G75" s="10" t="s">
        <v>100</v>
      </c>
      <c r="H75" s="10" t="s">
        <v>1261</v>
      </c>
    </row>
    <row r="76" spans="1:8" x14ac:dyDescent="0.2">
      <c r="A76" s="10" t="s">
        <v>580</v>
      </c>
      <c r="B76" s="10" t="s">
        <v>579</v>
      </c>
      <c r="C76" s="10" t="s">
        <v>897</v>
      </c>
      <c r="D76" s="10" t="s">
        <v>1112</v>
      </c>
      <c r="E76" s="10">
        <v>1</v>
      </c>
      <c r="F76" s="10">
        <v>6.2893081761006293E-3</v>
      </c>
      <c r="G76" s="10" t="s">
        <v>100</v>
      </c>
      <c r="H76" s="10" t="s">
        <v>1261</v>
      </c>
    </row>
    <row r="77" spans="1:8" x14ac:dyDescent="0.2">
      <c r="A77" s="10" t="s">
        <v>582</v>
      </c>
      <c r="B77" s="10" t="s">
        <v>581</v>
      </c>
      <c r="C77" s="10" t="s">
        <v>898</v>
      </c>
      <c r="E77" s="10">
        <v>1</v>
      </c>
      <c r="F77" s="10">
        <v>6.2893081761006293E-3</v>
      </c>
      <c r="G77" s="10" t="s">
        <v>100</v>
      </c>
      <c r="H77" s="10" t="s">
        <v>1261</v>
      </c>
    </row>
    <row r="78" spans="1:8" x14ac:dyDescent="0.2">
      <c r="A78" s="10" t="s">
        <v>582</v>
      </c>
      <c r="B78" s="10" t="s">
        <v>581</v>
      </c>
      <c r="C78" s="10" t="s">
        <v>899</v>
      </c>
      <c r="D78" s="10" t="s">
        <v>1113</v>
      </c>
      <c r="E78" s="10">
        <v>3</v>
      </c>
      <c r="F78" s="10">
        <v>1.8867924528301886E-2</v>
      </c>
      <c r="G78" s="10" t="s">
        <v>100</v>
      </c>
      <c r="H78" s="10" t="s">
        <v>1261</v>
      </c>
    </row>
    <row r="79" spans="1:8" x14ac:dyDescent="0.2">
      <c r="A79" s="10" t="s">
        <v>582</v>
      </c>
      <c r="B79" s="10" t="s">
        <v>581</v>
      </c>
      <c r="C79" s="10" t="s">
        <v>900</v>
      </c>
      <c r="D79" s="10" t="s">
        <v>1114</v>
      </c>
      <c r="E79" s="10">
        <v>1</v>
      </c>
      <c r="F79" s="10">
        <v>6.2893081761006293E-3</v>
      </c>
      <c r="G79" s="10" t="s">
        <v>100</v>
      </c>
      <c r="H79" s="10" t="s">
        <v>1261</v>
      </c>
    </row>
    <row r="80" spans="1:8" x14ac:dyDescent="0.2">
      <c r="A80" s="10" t="s">
        <v>584</v>
      </c>
      <c r="B80" s="10" t="s">
        <v>583</v>
      </c>
      <c r="C80" s="10" t="s">
        <v>901</v>
      </c>
      <c r="D80" s="10" t="s">
        <v>1115</v>
      </c>
      <c r="E80" s="10">
        <v>1</v>
      </c>
      <c r="F80" s="10">
        <v>6.2893081761006293E-3</v>
      </c>
      <c r="G80" s="10" t="s">
        <v>100</v>
      </c>
      <c r="H80" s="10" t="s">
        <v>1261</v>
      </c>
    </row>
    <row r="81" spans="1:8" x14ac:dyDescent="0.2">
      <c r="A81" s="10" t="s">
        <v>509</v>
      </c>
      <c r="B81" s="10" t="s">
        <v>585</v>
      </c>
      <c r="C81" s="10" t="s">
        <v>902</v>
      </c>
      <c r="D81" s="10" t="s">
        <v>1116</v>
      </c>
      <c r="E81" s="10">
        <v>1</v>
      </c>
      <c r="F81" s="10">
        <v>6.2893081761006293E-3</v>
      </c>
      <c r="G81" s="10" t="s">
        <v>100</v>
      </c>
      <c r="H81" s="10" t="s">
        <v>1261</v>
      </c>
    </row>
    <row r="82" spans="1:8" x14ac:dyDescent="0.2">
      <c r="A82" s="10" t="s">
        <v>509</v>
      </c>
      <c r="B82" s="10" t="s">
        <v>586</v>
      </c>
      <c r="C82" s="10" t="s">
        <v>903</v>
      </c>
      <c r="D82" s="10" t="s">
        <v>1117</v>
      </c>
      <c r="E82" s="10">
        <v>1</v>
      </c>
      <c r="F82" s="10">
        <v>6.2893081761006293E-3</v>
      </c>
      <c r="G82" s="10" t="s">
        <v>100</v>
      </c>
      <c r="H82" s="10" t="s">
        <v>1261</v>
      </c>
    </row>
    <row r="83" spans="1:8" x14ac:dyDescent="0.2">
      <c r="A83" s="10" t="s">
        <v>588</v>
      </c>
      <c r="B83" s="10" t="s">
        <v>587</v>
      </c>
      <c r="C83" s="10" t="s">
        <v>904</v>
      </c>
      <c r="D83" s="10" t="s">
        <v>1118</v>
      </c>
      <c r="E83" s="10">
        <v>1</v>
      </c>
      <c r="F83" s="10">
        <v>6.2893081761006293E-3</v>
      </c>
      <c r="G83" s="10" t="s">
        <v>100</v>
      </c>
      <c r="H83" s="10" t="s">
        <v>1261</v>
      </c>
    </row>
    <row r="84" spans="1:8" x14ac:dyDescent="0.2">
      <c r="A84" s="10" t="s">
        <v>590</v>
      </c>
      <c r="B84" s="10" t="s">
        <v>589</v>
      </c>
      <c r="C84" s="10" t="s">
        <v>1249</v>
      </c>
      <c r="D84" s="10" t="s">
        <v>1250</v>
      </c>
      <c r="E84" s="10">
        <v>1</v>
      </c>
      <c r="F84" s="10">
        <v>6.2893081761006293E-3</v>
      </c>
      <c r="G84" s="10" t="s">
        <v>100</v>
      </c>
      <c r="H84" s="10" t="s">
        <v>1261</v>
      </c>
    </row>
    <row r="85" spans="1:8" x14ac:dyDescent="0.2">
      <c r="A85" s="10" t="s">
        <v>592</v>
      </c>
      <c r="B85" s="10" t="s">
        <v>591</v>
      </c>
      <c r="C85" s="10" t="s">
        <v>905</v>
      </c>
      <c r="D85" s="10" t="s">
        <v>1119</v>
      </c>
      <c r="E85" s="10">
        <v>2</v>
      </c>
      <c r="F85" s="10">
        <v>1.2578616352201259E-2</v>
      </c>
      <c r="G85" s="10" t="s">
        <v>100</v>
      </c>
      <c r="H85" s="10" t="s">
        <v>1261</v>
      </c>
    </row>
    <row r="86" spans="1:8" x14ac:dyDescent="0.2">
      <c r="A86" s="10" t="s">
        <v>593</v>
      </c>
      <c r="B86" s="10" t="s">
        <v>591</v>
      </c>
      <c r="C86" s="10" t="s">
        <v>906</v>
      </c>
      <c r="D86" s="10" t="s">
        <v>1120</v>
      </c>
      <c r="E86" s="10">
        <v>1</v>
      </c>
      <c r="F86" s="10">
        <v>6.2893081761006293E-3</v>
      </c>
      <c r="G86" s="10" t="s">
        <v>100</v>
      </c>
      <c r="H86" s="10" t="s">
        <v>1261</v>
      </c>
    </row>
    <row r="87" spans="1:8" x14ac:dyDescent="0.2">
      <c r="A87" s="10" t="s">
        <v>594</v>
      </c>
      <c r="B87" s="10" t="s">
        <v>368</v>
      </c>
      <c r="C87" s="10" t="s">
        <v>907</v>
      </c>
      <c r="D87" s="10" t="s">
        <v>1121</v>
      </c>
      <c r="E87" s="10">
        <v>1</v>
      </c>
      <c r="F87" s="10">
        <v>6.2893081761006293E-3</v>
      </c>
      <c r="G87" s="10" t="s">
        <v>100</v>
      </c>
      <c r="H87" s="10" t="s">
        <v>1261</v>
      </c>
    </row>
    <row r="88" spans="1:8" x14ac:dyDescent="0.2">
      <c r="A88" s="10" t="s">
        <v>596</v>
      </c>
      <c r="B88" s="10" t="s">
        <v>595</v>
      </c>
      <c r="C88" s="10" t="s">
        <v>908</v>
      </c>
      <c r="E88" s="10">
        <v>1</v>
      </c>
      <c r="F88" s="10">
        <v>6.2893081761006293E-3</v>
      </c>
      <c r="G88" s="10" t="s">
        <v>100</v>
      </c>
      <c r="H88" s="10" t="s">
        <v>1261</v>
      </c>
    </row>
    <row r="89" spans="1:8" x14ac:dyDescent="0.2">
      <c r="A89" s="10" t="s">
        <v>598</v>
      </c>
      <c r="B89" s="10" t="s">
        <v>597</v>
      </c>
      <c r="C89" s="10" t="s">
        <v>909</v>
      </c>
      <c r="D89" s="10" t="s">
        <v>1122</v>
      </c>
      <c r="E89" s="10">
        <v>1</v>
      </c>
      <c r="F89" s="10">
        <v>6.2893081761006293E-3</v>
      </c>
      <c r="G89" s="10" t="s">
        <v>100</v>
      </c>
      <c r="H89" s="10" t="s">
        <v>1261</v>
      </c>
    </row>
    <row r="90" spans="1:8" x14ac:dyDescent="0.2">
      <c r="A90" s="10" t="s">
        <v>600</v>
      </c>
      <c r="B90" s="10" t="s">
        <v>599</v>
      </c>
      <c r="C90" s="10" t="s">
        <v>910</v>
      </c>
      <c r="D90" s="10" t="s">
        <v>1123</v>
      </c>
      <c r="E90" s="10">
        <v>1</v>
      </c>
      <c r="F90" s="10">
        <v>6.2893081761006293E-3</v>
      </c>
      <c r="G90" s="10" t="s">
        <v>100</v>
      </c>
      <c r="H90" s="10" t="s">
        <v>1261</v>
      </c>
    </row>
    <row r="91" spans="1:8" x14ac:dyDescent="0.2">
      <c r="A91" s="10" t="s">
        <v>602</v>
      </c>
      <c r="B91" s="10" t="s">
        <v>601</v>
      </c>
      <c r="C91" s="10" t="s">
        <v>911</v>
      </c>
      <c r="D91" s="10" t="s">
        <v>1124</v>
      </c>
      <c r="E91" s="10">
        <v>1</v>
      </c>
      <c r="F91" s="10">
        <v>6.2893081761006293E-3</v>
      </c>
      <c r="G91" s="10" t="s">
        <v>100</v>
      </c>
      <c r="H91" s="10" t="s">
        <v>1261</v>
      </c>
    </row>
    <row r="92" spans="1:8" x14ac:dyDescent="0.2">
      <c r="A92" s="10" t="s">
        <v>604</v>
      </c>
      <c r="B92" s="10" t="s">
        <v>603</v>
      </c>
      <c r="C92" s="10" t="s">
        <v>912</v>
      </c>
      <c r="D92" s="10" t="s">
        <v>1125</v>
      </c>
      <c r="E92" s="10">
        <v>1</v>
      </c>
      <c r="F92" s="10">
        <v>6.2893081761006293E-3</v>
      </c>
      <c r="G92" s="10" t="s">
        <v>100</v>
      </c>
      <c r="H92" s="10" t="s">
        <v>1261</v>
      </c>
    </row>
    <row r="93" spans="1:8" x14ac:dyDescent="0.2">
      <c r="A93" s="10" t="s">
        <v>17</v>
      </c>
      <c r="B93" s="10" t="s">
        <v>18</v>
      </c>
      <c r="C93" s="10" t="s">
        <v>913</v>
      </c>
      <c r="D93" s="10" t="s">
        <v>1126</v>
      </c>
      <c r="E93" s="10">
        <v>1</v>
      </c>
      <c r="F93" s="10">
        <v>6.2893081761006293E-3</v>
      </c>
      <c r="G93" s="10" t="s">
        <v>100</v>
      </c>
      <c r="H93" s="10" t="s">
        <v>1261</v>
      </c>
    </row>
    <row r="94" spans="1:8" x14ac:dyDescent="0.2">
      <c r="A94" s="10" t="s">
        <v>606</v>
      </c>
      <c r="B94" s="10" t="s">
        <v>605</v>
      </c>
      <c r="C94" s="10" t="s">
        <v>914</v>
      </c>
      <c r="E94" s="10">
        <v>1</v>
      </c>
      <c r="F94" s="10">
        <v>6.2893081761006293E-3</v>
      </c>
      <c r="G94" s="10" t="s">
        <v>100</v>
      </c>
      <c r="H94" s="10" t="s">
        <v>1261</v>
      </c>
    </row>
    <row r="95" spans="1:8" x14ac:dyDescent="0.2">
      <c r="A95" s="10" t="s">
        <v>608</v>
      </c>
      <c r="B95" s="10" t="s">
        <v>607</v>
      </c>
      <c r="C95" s="10" t="s">
        <v>915</v>
      </c>
      <c r="E95" s="10">
        <v>1</v>
      </c>
      <c r="F95" s="10">
        <v>6.2893081761006293E-3</v>
      </c>
      <c r="G95" s="10" t="s">
        <v>100</v>
      </c>
      <c r="H95" s="10" t="s">
        <v>1261</v>
      </c>
    </row>
    <row r="96" spans="1:8" x14ac:dyDescent="0.2">
      <c r="A96" s="10" t="s">
        <v>608</v>
      </c>
      <c r="B96" s="10" t="s">
        <v>609</v>
      </c>
      <c r="C96" s="10" t="s">
        <v>916</v>
      </c>
      <c r="E96" s="10">
        <v>1</v>
      </c>
      <c r="F96" s="10">
        <v>6.2893081761006293E-3</v>
      </c>
      <c r="G96" s="10" t="s">
        <v>100</v>
      </c>
      <c r="H96" s="10" t="s">
        <v>1261</v>
      </c>
    </row>
    <row r="97" spans="1:8" x14ac:dyDescent="0.2">
      <c r="A97" s="10" t="s">
        <v>611</v>
      </c>
      <c r="B97" s="10" t="s">
        <v>610</v>
      </c>
      <c r="C97" s="10" t="s">
        <v>917</v>
      </c>
      <c r="D97" s="10" t="s">
        <v>1127</v>
      </c>
      <c r="E97" s="10">
        <v>1</v>
      </c>
      <c r="F97" s="10">
        <v>6.2893081761006293E-3</v>
      </c>
      <c r="G97" s="10" t="s">
        <v>100</v>
      </c>
      <c r="H97" s="10" t="s">
        <v>1261</v>
      </c>
    </row>
    <row r="98" spans="1:8" x14ac:dyDescent="0.2">
      <c r="A98" s="10" t="s">
        <v>613</v>
      </c>
      <c r="B98" s="10" t="s">
        <v>612</v>
      </c>
      <c r="C98" s="10" t="s">
        <v>1251</v>
      </c>
      <c r="D98" s="10" t="s">
        <v>1252</v>
      </c>
      <c r="E98" s="10">
        <v>1</v>
      </c>
      <c r="F98" s="10">
        <v>6.2893081761006293E-3</v>
      </c>
      <c r="G98" s="10" t="s">
        <v>100</v>
      </c>
      <c r="H98" s="10" t="s">
        <v>1261</v>
      </c>
    </row>
    <row r="99" spans="1:8" x14ac:dyDescent="0.2">
      <c r="A99" s="10" t="s">
        <v>613</v>
      </c>
      <c r="B99" s="10" t="s">
        <v>612</v>
      </c>
      <c r="C99" s="10" t="s">
        <v>918</v>
      </c>
      <c r="D99" s="10" t="s">
        <v>1128</v>
      </c>
      <c r="E99" s="10">
        <v>1</v>
      </c>
      <c r="F99" s="10">
        <v>6.2893081761006293E-3</v>
      </c>
      <c r="G99" s="10" t="s">
        <v>100</v>
      </c>
      <c r="H99" s="10" t="s">
        <v>1261</v>
      </c>
    </row>
    <row r="100" spans="1:8" x14ac:dyDescent="0.2">
      <c r="A100" s="10" t="s">
        <v>615</v>
      </c>
      <c r="B100" s="10" t="s">
        <v>614</v>
      </c>
      <c r="C100" s="10" t="s">
        <v>919</v>
      </c>
      <c r="D100" s="10" t="s">
        <v>1129</v>
      </c>
      <c r="E100" s="10">
        <v>1</v>
      </c>
      <c r="F100" s="10">
        <v>6.2893081761006293E-3</v>
      </c>
      <c r="G100" s="10" t="s">
        <v>100</v>
      </c>
      <c r="H100" s="10" t="s">
        <v>1261</v>
      </c>
    </row>
    <row r="101" spans="1:8" x14ac:dyDescent="0.2">
      <c r="A101" s="10" t="s">
        <v>616</v>
      </c>
      <c r="B101" s="10" t="s">
        <v>334</v>
      </c>
      <c r="C101" s="10" t="s">
        <v>920</v>
      </c>
      <c r="D101" s="10" t="s">
        <v>1130</v>
      </c>
      <c r="E101" s="10">
        <v>1</v>
      </c>
      <c r="F101" s="10">
        <v>6.2893081761006293E-3</v>
      </c>
      <c r="G101" s="10" t="s">
        <v>100</v>
      </c>
      <c r="H101" s="10" t="s">
        <v>1261</v>
      </c>
    </row>
    <row r="102" spans="1:8" x14ac:dyDescent="0.2">
      <c r="A102" s="10" t="s">
        <v>617</v>
      </c>
      <c r="B102" s="10" t="s">
        <v>2</v>
      </c>
      <c r="C102" s="10" t="s">
        <v>140</v>
      </c>
      <c r="D102" s="10" t="s">
        <v>141</v>
      </c>
      <c r="E102" s="10">
        <v>2</v>
      </c>
      <c r="F102" s="10">
        <v>1.2578616352201259E-2</v>
      </c>
      <c r="G102" s="10" t="s">
        <v>100</v>
      </c>
      <c r="H102" s="10" t="s">
        <v>1261</v>
      </c>
    </row>
    <row r="103" spans="1:8" x14ac:dyDescent="0.2">
      <c r="A103" s="10" t="s">
        <v>618</v>
      </c>
      <c r="B103" s="10" t="s">
        <v>371</v>
      </c>
      <c r="C103" s="10" t="s">
        <v>921</v>
      </c>
      <c r="D103" s="10" t="s">
        <v>1131</v>
      </c>
      <c r="E103" s="10">
        <v>1</v>
      </c>
      <c r="F103" s="10">
        <v>6.2893081761006293E-3</v>
      </c>
      <c r="G103" s="10" t="s">
        <v>100</v>
      </c>
      <c r="H103" s="10" t="s">
        <v>1261</v>
      </c>
    </row>
    <row r="104" spans="1:8" x14ac:dyDescent="0.2">
      <c r="A104" s="10" t="s">
        <v>620</v>
      </c>
      <c r="B104" s="10" t="s">
        <v>619</v>
      </c>
      <c r="C104" s="10" t="s">
        <v>922</v>
      </c>
      <c r="D104" s="10" t="s">
        <v>1132</v>
      </c>
      <c r="E104" s="10">
        <v>2</v>
      </c>
      <c r="F104" s="10">
        <v>1.2578616352201259E-2</v>
      </c>
      <c r="G104" s="10" t="s">
        <v>100</v>
      </c>
      <c r="H104" s="10" t="s">
        <v>1261</v>
      </c>
    </row>
    <row r="105" spans="1:8" x14ac:dyDescent="0.2">
      <c r="A105" s="10" t="s">
        <v>622</v>
      </c>
      <c r="B105" s="10" t="s">
        <v>621</v>
      </c>
      <c r="C105" s="10" t="s">
        <v>923</v>
      </c>
      <c r="D105" s="10" t="s">
        <v>1133</v>
      </c>
      <c r="E105" s="10">
        <v>1</v>
      </c>
      <c r="F105" s="10">
        <v>6.2893081761006293E-3</v>
      </c>
      <c r="G105" s="10" t="s">
        <v>100</v>
      </c>
      <c r="H105" s="10" t="s">
        <v>1261</v>
      </c>
    </row>
    <row r="106" spans="1:8" x14ac:dyDescent="0.2">
      <c r="A106" s="10" t="s">
        <v>623</v>
      </c>
      <c r="B106" s="10" t="s">
        <v>621</v>
      </c>
      <c r="C106" s="10" t="s">
        <v>924</v>
      </c>
      <c r="D106" s="10" t="s">
        <v>1134</v>
      </c>
      <c r="E106" s="10">
        <v>1</v>
      </c>
      <c r="F106" s="10">
        <v>6.2893081761006293E-3</v>
      </c>
      <c r="G106" s="10" t="s">
        <v>100</v>
      </c>
      <c r="H106" s="10" t="s">
        <v>1261</v>
      </c>
    </row>
    <row r="107" spans="1:8" x14ac:dyDescent="0.2">
      <c r="A107" s="10" t="s">
        <v>625</v>
      </c>
      <c r="B107" s="10" t="s">
        <v>624</v>
      </c>
      <c r="C107" s="10" t="s">
        <v>925</v>
      </c>
      <c r="D107" s="10" t="s">
        <v>1135</v>
      </c>
      <c r="E107" s="10">
        <v>1</v>
      </c>
      <c r="F107" s="10">
        <v>6.2893081761006293E-3</v>
      </c>
      <c r="G107" s="10" t="s">
        <v>100</v>
      </c>
      <c r="H107" s="10" t="s">
        <v>1261</v>
      </c>
    </row>
    <row r="108" spans="1:8" x14ac:dyDescent="0.2">
      <c r="A108" s="10" t="s">
        <v>625</v>
      </c>
      <c r="B108" s="10" t="s">
        <v>624</v>
      </c>
      <c r="C108" s="10" t="s">
        <v>926</v>
      </c>
      <c r="D108" s="10" t="s">
        <v>1136</v>
      </c>
      <c r="E108" s="10">
        <v>1</v>
      </c>
      <c r="F108" s="10">
        <v>6.2893081761006293E-3</v>
      </c>
      <c r="G108" s="10" t="s">
        <v>100</v>
      </c>
      <c r="H108" s="10" t="s">
        <v>1261</v>
      </c>
    </row>
    <row r="109" spans="1:8" x14ac:dyDescent="0.2">
      <c r="A109" s="10" t="s">
        <v>626</v>
      </c>
      <c r="B109" s="10" t="s">
        <v>169</v>
      </c>
      <c r="C109" s="10" t="s">
        <v>183</v>
      </c>
      <c r="D109" s="10" t="s">
        <v>184</v>
      </c>
      <c r="E109" s="10">
        <v>3</v>
      </c>
      <c r="F109" s="10">
        <v>1.8867924528301886E-2</v>
      </c>
      <c r="G109" s="10" t="s">
        <v>100</v>
      </c>
      <c r="H109" s="10" t="s">
        <v>1261</v>
      </c>
    </row>
    <row r="110" spans="1:8" x14ac:dyDescent="0.2">
      <c r="A110" s="10" t="s">
        <v>626</v>
      </c>
      <c r="B110" s="10" t="s">
        <v>169</v>
      </c>
      <c r="C110" s="10" t="s">
        <v>175</v>
      </c>
      <c r="D110" s="10" t="s">
        <v>176</v>
      </c>
      <c r="E110" s="10">
        <v>1</v>
      </c>
      <c r="F110" s="10">
        <v>6.2893081761006293E-3</v>
      </c>
      <c r="G110" s="10" t="s">
        <v>100</v>
      </c>
      <c r="H110" s="10" t="s">
        <v>1261</v>
      </c>
    </row>
    <row r="111" spans="1:8" x14ac:dyDescent="0.2">
      <c r="A111" s="10" t="s">
        <v>627</v>
      </c>
      <c r="B111" s="10" t="s">
        <v>169</v>
      </c>
      <c r="C111" s="10" t="s">
        <v>927</v>
      </c>
      <c r="D111" s="10" t="s">
        <v>1137</v>
      </c>
      <c r="E111" s="10">
        <v>4</v>
      </c>
      <c r="F111" s="10">
        <v>2.5157232704402517E-2</v>
      </c>
      <c r="G111" s="10" t="s">
        <v>100</v>
      </c>
      <c r="H111" s="10" t="s">
        <v>1261</v>
      </c>
    </row>
    <row r="112" spans="1:8" x14ac:dyDescent="0.2">
      <c r="A112" s="10" t="s">
        <v>628</v>
      </c>
      <c r="B112" s="10" t="s">
        <v>169</v>
      </c>
      <c r="C112" s="10" t="s">
        <v>928</v>
      </c>
      <c r="D112" s="10" t="s">
        <v>1138</v>
      </c>
      <c r="E112" s="10">
        <v>1</v>
      </c>
      <c r="F112" s="10">
        <v>6.2893081761006293E-3</v>
      </c>
      <c r="G112" s="10" t="s">
        <v>100</v>
      </c>
      <c r="H112" s="10" t="s">
        <v>1261</v>
      </c>
    </row>
    <row r="113" spans="1:8" x14ac:dyDescent="0.2">
      <c r="A113" s="10" t="s">
        <v>628</v>
      </c>
      <c r="B113" s="10" t="s">
        <v>169</v>
      </c>
      <c r="C113" s="10" t="s">
        <v>929</v>
      </c>
      <c r="D113" s="10" t="s">
        <v>1139</v>
      </c>
      <c r="E113" s="10">
        <v>1</v>
      </c>
      <c r="F113" s="10">
        <v>6.2893081761006293E-3</v>
      </c>
      <c r="G113" s="10" t="s">
        <v>100</v>
      </c>
      <c r="H113" s="10" t="s">
        <v>1261</v>
      </c>
    </row>
    <row r="114" spans="1:8" x14ac:dyDescent="0.2">
      <c r="A114" s="10" t="s">
        <v>630</v>
      </c>
      <c r="B114" s="10" t="s">
        <v>629</v>
      </c>
      <c r="C114" s="10" t="s">
        <v>930</v>
      </c>
      <c r="D114" s="10" t="s">
        <v>1140</v>
      </c>
      <c r="E114" s="10">
        <v>1</v>
      </c>
      <c r="F114" s="10">
        <v>6.2893081761006293E-3</v>
      </c>
      <c r="G114" s="10" t="s">
        <v>100</v>
      </c>
      <c r="H114" s="10" t="s">
        <v>1261</v>
      </c>
    </row>
    <row r="115" spans="1:8" x14ac:dyDescent="0.2">
      <c r="A115" s="10" t="s">
        <v>632</v>
      </c>
      <c r="B115" s="10" t="s">
        <v>631</v>
      </c>
      <c r="C115" s="10" t="s">
        <v>931</v>
      </c>
      <c r="D115" s="10" t="s">
        <v>1141</v>
      </c>
      <c r="E115" s="10">
        <v>1</v>
      </c>
      <c r="F115" s="10">
        <v>6.2893081761006293E-3</v>
      </c>
      <c r="G115" s="10" t="s">
        <v>100</v>
      </c>
      <c r="H115" s="10" t="s">
        <v>1261</v>
      </c>
    </row>
    <row r="116" spans="1:8" x14ac:dyDescent="0.2">
      <c r="A116" s="10" t="s">
        <v>634</v>
      </c>
      <c r="B116" s="10" t="s">
        <v>633</v>
      </c>
      <c r="C116" s="10" t="s">
        <v>932</v>
      </c>
      <c r="D116" s="10" t="s">
        <v>1142</v>
      </c>
      <c r="E116" s="10">
        <v>1</v>
      </c>
      <c r="F116" s="10">
        <v>6.2893081761006293E-3</v>
      </c>
      <c r="G116" s="10" t="s">
        <v>100</v>
      </c>
      <c r="H116" s="10" t="s">
        <v>1261</v>
      </c>
    </row>
    <row r="117" spans="1:8" x14ac:dyDescent="0.2">
      <c r="A117" s="10" t="s">
        <v>635</v>
      </c>
      <c r="B117" s="10" t="s">
        <v>313</v>
      </c>
      <c r="C117" s="10" t="s">
        <v>933</v>
      </c>
      <c r="D117" s="10" t="s">
        <v>1143</v>
      </c>
      <c r="E117" s="10">
        <v>1</v>
      </c>
      <c r="F117" s="10">
        <v>6.2893081761006293E-3</v>
      </c>
      <c r="G117" s="10" t="s">
        <v>100</v>
      </c>
      <c r="H117" s="10" t="s">
        <v>1261</v>
      </c>
    </row>
    <row r="118" spans="1:8" x14ac:dyDescent="0.2">
      <c r="A118" s="10" t="s">
        <v>637</v>
      </c>
      <c r="B118" s="10" t="s">
        <v>636</v>
      </c>
      <c r="C118" s="10" t="s">
        <v>934</v>
      </c>
      <c r="E118" s="10">
        <v>1</v>
      </c>
      <c r="F118" s="10">
        <v>6.2893081761006293E-3</v>
      </c>
      <c r="G118" s="10" t="s">
        <v>100</v>
      </c>
      <c r="H118" s="10" t="s">
        <v>1261</v>
      </c>
    </row>
    <row r="119" spans="1:8" x14ac:dyDescent="0.2">
      <c r="A119" s="10" t="s">
        <v>638</v>
      </c>
      <c r="B119" s="10" t="s">
        <v>340</v>
      </c>
      <c r="C119" s="10" t="s">
        <v>935</v>
      </c>
      <c r="D119" s="10" t="s">
        <v>1144</v>
      </c>
      <c r="E119" s="10">
        <v>1</v>
      </c>
      <c r="F119" s="10">
        <v>6.2893081761006293E-3</v>
      </c>
      <c r="G119" s="10" t="s">
        <v>100</v>
      </c>
      <c r="H119" s="10" t="s">
        <v>1261</v>
      </c>
    </row>
    <row r="120" spans="1:8" x14ac:dyDescent="0.2">
      <c r="A120" s="10" t="s">
        <v>640</v>
      </c>
      <c r="B120" s="10" t="s">
        <v>639</v>
      </c>
      <c r="C120" s="10" t="s">
        <v>936</v>
      </c>
      <c r="D120" s="10" t="s">
        <v>1145</v>
      </c>
      <c r="E120" s="10">
        <v>1</v>
      </c>
      <c r="F120" s="10">
        <v>6.2893081761006293E-3</v>
      </c>
      <c r="G120" s="10" t="s">
        <v>100</v>
      </c>
      <c r="H120" s="10" t="s">
        <v>1261</v>
      </c>
    </row>
    <row r="121" spans="1:8" x14ac:dyDescent="0.2">
      <c r="A121" s="10" t="s">
        <v>642</v>
      </c>
      <c r="B121" s="10" t="s">
        <v>641</v>
      </c>
      <c r="C121" s="10" t="s">
        <v>937</v>
      </c>
      <c r="D121" s="10" t="s">
        <v>1146</v>
      </c>
      <c r="E121" s="10">
        <v>1</v>
      </c>
      <c r="F121" s="10">
        <v>6.2893081761006293E-3</v>
      </c>
      <c r="G121" s="10" t="s">
        <v>100</v>
      </c>
      <c r="H121" s="10" t="s">
        <v>1261</v>
      </c>
    </row>
    <row r="122" spans="1:8" x14ac:dyDescent="0.2">
      <c r="A122" s="10" t="s">
        <v>642</v>
      </c>
      <c r="B122" s="10" t="s">
        <v>641</v>
      </c>
      <c r="C122" s="10" t="s">
        <v>938</v>
      </c>
      <c r="D122" s="10" t="s">
        <v>1147</v>
      </c>
      <c r="E122" s="10">
        <v>1</v>
      </c>
      <c r="F122" s="10">
        <v>6.2893081761006293E-3</v>
      </c>
      <c r="G122" s="10" t="s">
        <v>100</v>
      </c>
      <c r="H122" s="10" t="s">
        <v>1261</v>
      </c>
    </row>
    <row r="123" spans="1:8" x14ac:dyDescent="0.2">
      <c r="A123" s="10" t="s">
        <v>642</v>
      </c>
      <c r="B123" s="10" t="s">
        <v>641</v>
      </c>
      <c r="C123" s="10" t="s">
        <v>939</v>
      </c>
      <c r="D123" s="10" t="s">
        <v>1148</v>
      </c>
      <c r="E123" s="10">
        <v>1</v>
      </c>
      <c r="F123" s="10">
        <v>6.2893081761006293E-3</v>
      </c>
      <c r="G123" s="10" t="s">
        <v>100</v>
      </c>
      <c r="H123" s="10" t="s">
        <v>1261</v>
      </c>
    </row>
    <row r="124" spans="1:8" x14ac:dyDescent="0.2">
      <c r="A124" s="10" t="s">
        <v>644</v>
      </c>
      <c r="B124" s="10" t="s">
        <v>643</v>
      </c>
      <c r="C124" s="10" t="s">
        <v>940</v>
      </c>
      <c r="D124" s="10" t="s">
        <v>1149</v>
      </c>
      <c r="E124" s="10">
        <v>1</v>
      </c>
      <c r="F124" s="10">
        <v>6.2893081761006293E-3</v>
      </c>
      <c r="G124" s="10" t="s">
        <v>100</v>
      </c>
      <c r="H124" s="10" t="s">
        <v>1261</v>
      </c>
    </row>
    <row r="125" spans="1:8" x14ac:dyDescent="0.2">
      <c r="A125" s="10" t="s">
        <v>646</v>
      </c>
      <c r="B125" s="10" t="s">
        <v>645</v>
      </c>
      <c r="C125" s="10" t="s">
        <v>941</v>
      </c>
      <c r="D125" s="10" t="s">
        <v>1150</v>
      </c>
      <c r="E125" s="10">
        <v>1</v>
      </c>
      <c r="F125" s="10">
        <v>6.2893081761006293E-3</v>
      </c>
      <c r="G125" s="10" t="s">
        <v>100</v>
      </c>
      <c r="H125" s="10" t="s">
        <v>1261</v>
      </c>
    </row>
    <row r="126" spans="1:8" x14ac:dyDescent="0.2">
      <c r="A126" s="10" t="s">
        <v>648</v>
      </c>
      <c r="B126" s="10" t="s">
        <v>647</v>
      </c>
      <c r="C126" s="10" t="s">
        <v>942</v>
      </c>
      <c r="D126" s="10" t="s">
        <v>1151</v>
      </c>
      <c r="E126" s="10">
        <v>1</v>
      </c>
      <c r="F126" s="10">
        <v>6.2893081761006293E-3</v>
      </c>
      <c r="G126" s="10" t="s">
        <v>100</v>
      </c>
      <c r="H126" s="10" t="s">
        <v>1261</v>
      </c>
    </row>
    <row r="127" spans="1:8" x14ac:dyDescent="0.2">
      <c r="A127" s="10" t="s">
        <v>650</v>
      </c>
      <c r="B127" s="10" t="s">
        <v>649</v>
      </c>
      <c r="C127" s="10" t="s">
        <v>943</v>
      </c>
      <c r="E127" s="10">
        <v>1</v>
      </c>
      <c r="F127" s="10">
        <v>6.2893081761006293E-3</v>
      </c>
      <c r="G127" s="10" t="s">
        <v>100</v>
      </c>
      <c r="H127" s="10" t="s">
        <v>1261</v>
      </c>
    </row>
    <row r="128" spans="1:8" x14ac:dyDescent="0.2">
      <c r="A128" s="10" t="s">
        <v>652</v>
      </c>
      <c r="B128" s="10" t="s">
        <v>651</v>
      </c>
      <c r="C128" s="10" t="s">
        <v>944</v>
      </c>
      <c r="E128" s="10">
        <v>2</v>
      </c>
      <c r="F128" s="10">
        <v>1.2578616352201259E-2</v>
      </c>
      <c r="G128" s="10" t="s">
        <v>100</v>
      </c>
      <c r="H128" s="10" t="s">
        <v>1261</v>
      </c>
    </row>
    <row r="129" spans="1:8" x14ac:dyDescent="0.2">
      <c r="A129" s="10" t="s">
        <v>654</v>
      </c>
      <c r="B129" s="10" t="s">
        <v>653</v>
      </c>
      <c r="C129" s="10" t="s">
        <v>945</v>
      </c>
      <c r="E129" s="10">
        <v>1</v>
      </c>
      <c r="F129" s="10">
        <v>6.2893081761006293E-3</v>
      </c>
      <c r="G129" s="10" t="s">
        <v>100</v>
      </c>
      <c r="H129" s="10" t="s">
        <v>1261</v>
      </c>
    </row>
    <row r="130" spans="1:8" x14ac:dyDescent="0.2">
      <c r="A130" s="10" t="s">
        <v>656</v>
      </c>
      <c r="B130" s="10" t="s">
        <v>655</v>
      </c>
      <c r="C130" s="10" t="s">
        <v>946</v>
      </c>
      <c r="D130" s="10" t="s">
        <v>1152</v>
      </c>
      <c r="E130" s="10">
        <v>1</v>
      </c>
      <c r="F130" s="10">
        <v>6.2893081761006293E-3</v>
      </c>
      <c r="G130" s="10" t="s">
        <v>100</v>
      </c>
      <c r="H130" s="10" t="s">
        <v>1261</v>
      </c>
    </row>
    <row r="131" spans="1:8" x14ac:dyDescent="0.2">
      <c r="A131" s="10" t="s">
        <v>657</v>
      </c>
      <c r="B131" s="10" t="s">
        <v>286</v>
      </c>
      <c r="C131" s="10" t="s">
        <v>947</v>
      </c>
      <c r="D131" s="10" t="s">
        <v>1153</v>
      </c>
      <c r="E131" s="10">
        <v>1</v>
      </c>
      <c r="F131" s="10">
        <v>6.2893081761006293E-3</v>
      </c>
      <c r="G131" s="10" t="s">
        <v>100</v>
      </c>
      <c r="H131" s="10" t="s">
        <v>1261</v>
      </c>
    </row>
    <row r="132" spans="1:8" x14ac:dyDescent="0.2">
      <c r="A132" s="10" t="s">
        <v>659</v>
      </c>
      <c r="B132" s="10" t="s">
        <v>658</v>
      </c>
      <c r="C132" s="10" t="s">
        <v>948</v>
      </c>
      <c r="E132" s="10">
        <v>1</v>
      </c>
      <c r="F132" s="10">
        <v>6.2893081761006293E-3</v>
      </c>
      <c r="G132" s="10" t="s">
        <v>100</v>
      </c>
      <c r="H132" s="10" t="s">
        <v>1261</v>
      </c>
    </row>
    <row r="133" spans="1:8" x14ac:dyDescent="0.2">
      <c r="A133" s="10" t="s">
        <v>661</v>
      </c>
      <c r="B133" s="10" t="s">
        <v>660</v>
      </c>
      <c r="C133" s="10" t="s">
        <v>889</v>
      </c>
      <c r="D133" s="10" t="s">
        <v>1104</v>
      </c>
      <c r="E133" s="10">
        <v>1</v>
      </c>
      <c r="F133" s="10">
        <v>6.2893081761006293E-3</v>
      </c>
      <c r="G133" s="10" t="s">
        <v>100</v>
      </c>
      <c r="H133" s="10" t="s">
        <v>1261</v>
      </c>
    </row>
    <row r="134" spans="1:8" x14ac:dyDescent="0.2">
      <c r="A134" s="10" t="s">
        <v>663</v>
      </c>
      <c r="B134" s="10" t="s">
        <v>662</v>
      </c>
      <c r="C134" s="10" t="s">
        <v>949</v>
      </c>
      <c r="D134" s="10" t="s">
        <v>1154</v>
      </c>
      <c r="E134" s="10">
        <v>1</v>
      </c>
      <c r="F134" s="10">
        <v>6.2893081761006293E-3</v>
      </c>
      <c r="G134" s="10" t="s">
        <v>100</v>
      </c>
      <c r="H134" s="10" t="s">
        <v>1261</v>
      </c>
    </row>
    <row r="135" spans="1:8" x14ac:dyDescent="0.2">
      <c r="A135" s="10" t="s">
        <v>544</v>
      </c>
      <c r="B135" s="10" t="s">
        <v>298</v>
      </c>
      <c r="C135" s="10" t="s">
        <v>950</v>
      </c>
      <c r="D135" s="10" t="s">
        <v>1155</v>
      </c>
      <c r="E135" s="10">
        <v>1</v>
      </c>
      <c r="F135" s="10">
        <v>6.2893081761006293E-3</v>
      </c>
      <c r="G135" s="10" t="s">
        <v>100</v>
      </c>
      <c r="H135" s="10" t="s">
        <v>1261</v>
      </c>
    </row>
    <row r="136" spans="1:8" x14ac:dyDescent="0.2">
      <c r="A136" s="10" t="s">
        <v>665</v>
      </c>
      <c r="B136" s="10" t="s">
        <v>664</v>
      </c>
      <c r="C136" s="10" t="s">
        <v>951</v>
      </c>
      <c r="D136" s="10" t="s">
        <v>1156</v>
      </c>
      <c r="E136" s="10">
        <v>1</v>
      </c>
      <c r="F136" s="10">
        <v>6.2893081761006293E-3</v>
      </c>
      <c r="G136" s="10" t="s">
        <v>100</v>
      </c>
      <c r="H136" s="10" t="s">
        <v>1261</v>
      </c>
    </row>
    <row r="137" spans="1:8" x14ac:dyDescent="0.2">
      <c r="A137" s="10" t="s">
        <v>667</v>
      </c>
      <c r="B137" s="10" t="s">
        <v>666</v>
      </c>
      <c r="C137" s="10" t="s">
        <v>952</v>
      </c>
      <c r="E137" s="10">
        <v>1</v>
      </c>
      <c r="F137" s="10">
        <v>6.2893081761006293E-3</v>
      </c>
      <c r="G137" s="10" t="s">
        <v>100</v>
      </c>
      <c r="H137" s="10" t="s">
        <v>1261</v>
      </c>
    </row>
    <row r="138" spans="1:8" x14ac:dyDescent="0.2">
      <c r="A138" s="10" t="s">
        <v>669</v>
      </c>
      <c r="B138" s="10" t="s">
        <v>668</v>
      </c>
      <c r="C138" s="10" t="s">
        <v>953</v>
      </c>
      <c r="D138" s="10" t="s">
        <v>1157</v>
      </c>
      <c r="E138" s="10">
        <v>1</v>
      </c>
      <c r="F138" s="10">
        <v>6.2893081761006293E-3</v>
      </c>
      <c r="G138" s="10" t="s">
        <v>100</v>
      </c>
      <c r="H138" s="10" t="s">
        <v>1261</v>
      </c>
    </row>
    <row r="139" spans="1:8" x14ac:dyDescent="0.2">
      <c r="A139" s="10" t="s">
        <v>671</v>
      </c>
      <c r="B139" s="10" t="s">
        <v>670</v>
      </c>
      <c r="C139" s="10" t="s">
        <v>954</v>
      </c>
      <c r="D139" s="10" t="s">
        <v>1158</v>
      </c>
      <c r="E139" s="10">
        <v>1</v>
      </c>
      <c r="F139" s="10">
        <v>6.2893081761006293E-3</v>
      </c>
      <c r="G139" s="10" t="s">
        <v>100</v>
      </c>
      <c r="H139" s="10" t="s">
        <v>1261</v>
      </c>
    </row>
    <row r="140" spans="1:8" x14ac:dyDescent="0.2">
      <c r="A140" s="10" t="s">
        <v>673</v>
      </c>
      <c r="B140" s="10" t="s">
        <v>672</v>
      </c>
      <c r="C140" s="10" t="s">
        <v>955</v>
      </c>
      <c r="E140" s="10">
        <v>1</v>
      </c>
      <c r="F140" s="10">
        <v>6.2893081761006293E-3</v>
      </c>
      <c r="G140" s="10" t="s">
        <v>100</v>
      </c>
      <c r="H140" s="10" t="s">
        <v>1261</v>
      </c>
    </row>
    <row r="141" spans="1:8" x14ac:dyDescent="0.2">
      <c r="A141" s="10" t="s">
        <v>675</v>
      </c>
      <c r="B141" s="10" t="s">
        <v>674</v>
      </c>
      <c r="C141" s="10" t="s">
        <v>956</v>
      </c>
      <c r="D141" s="10" t="s">
        <v>1159</v>
      </c>
      <c r="E141" s="10">
        <v>1</v>
      </c>
      <c r="F141" s="10">
        <v>6.2893081761006293E-3</v>
      </c>
      <c r="G141" s="10" t="s">
        <v>100</v>
      </c>
      <c r="H141" s="10" t="s">
        <v>1261</v>
      </c>
    </row>
    <row r="142" spans="1:8" x14ac:dyDescent="0.2">
      <c r="A142" s="10" t="s">
        <v>677</v>
      </c>
      <c r="B142" s="10" t="s">
        <v>676</v>
      </c>
      <c r="C142" s="10" t="s">
        <v>957</v>
      </c>
      <c r="D142" s="10" t="s">
        <v>1160</v>
      </c>
      <c r="E142" s="10">
        <v>1</v>
      </c>
      <c r="F142" s="10">
        <v>6.2893081761006293E-3</v>
      </c>
      <c r="G142" s="10" t="s">
        <v>100</v>
      </c>
      <c r="H142" s="10" t="s">
        <v>1261</v>
      </c>
    </row>
    <row r="143" spans="1:8" x14ac:dyDescent="0.2">
      <c r="A143" s="10" t="s">
        <v>678</v>
      </c>
      <c r="B143" s="10" t="s">
        <v>377</v>
      </c>
      <c r="C143" s="10" t="s">
        <v>958</v>
      </c>
      <c r="D143" s="10" t="s">
        <v>1161</v>
      </c>
      <c r="E143" s="10">
        <v>1</v>
      </c>
      <c r="F143" s="10">
        <v>6.2893081761006293E-3</v>
      </c>
      <c r="G143" s="10" t="s">
        <v>100</v>
      </c>
      <c r="H143" s="10" t="s">
        <v>1261</v>
      </c>
    </row>
    <row r="144" spans="1:8" x14ac:dyDescent="0.2">
      <c r="A144" s="10" t="s">
        <v>680</v>
      </c>
      <c r="B144" s="10" t="s">
        <v>679</v>
      </c>
      <c r="C144" s="10" t="s">
        <v>959</v>
      </c>
      <c r="E144" s="10">
        <v>1</v>
      </c>
      <c r="F144" s="10">
        <v>6.2893081761006293E-3</v>
      </c>
      <c r="G144" s="10" t="s">
        <v>100</v>
      </c>
      <c r="H144" s="10" t="s">
        <v>1261</v>
      </c>
    </row>
    <row r="145" spans="1:8" x14ac:dyDescent="0.2">
      <c r="A145" s="10" t="s">
        <v>682</v>
      </c>
      <c r="B145" s="10" t="s">
        <v>681</v>
      </c>
      <c r="C145" s="10" t="s">
        <v>960</v>
      </c>
      <c r="D145" s="10" t="s">
        <v>1162</v>
      </c>
      <c r="E145" s="10">
        <v>1</v>
      </c>
      <c r="F145" s="10">
        <v>6.2893081761006293E-3</v>
      </c>
      <c r="G145" s="10" t="s">
        <v>100</v>
      </c>
      <c r="H145" s="10" t="s">
        <v>1261</v>
      </c>
    </row>
    <row r="146" spans="1:8" x14ac:dyDescent="0.2">
      <c r="A146" s="10" t="s">
        <v>682</v>
      </c>
      <c r="B146" s="10" t="s">
        <v>681</v>
      </c>
      <c r="C146" s="10" t="s">
        <v>961</v>
      </c>
      <c r="D146" s="10" t="s">
        <v>1163</v>
      </c>
      <c r="E146" s="10">
        <v>1</v>
      </c>
      <c r="F146" s="10">
        <v>6.2893081761006293E-3</v>
      </c>
      <c r="G146" s="10" t="s">
        <v>100</v>
      </c>
      <c r="H146" s="10" t="s">
        <v>1261</v>
      </c>
    </row>
    <row r="147" spans="1:8" x14ac:dyDescent="0.2">
      <c r="A147" s="10" t="s">
        <v>684</v>
      </c>
      <c r="B147" s="10" t="s">
        <v>683</v>
      </c>
      <c r="C147" s="10" t="s">
        <v>962</v>
      </c>
      <c r="E147" s="10">
        <v>1</v>
      </c>
      <c r="F147" s="10">
        <v>6.2893081761006293E-3</v>
      </c>
      <c r="G147" s="10" t="s">
        <v>100</v>
      </c>
      <c r="H147" s="10" t="s">
        <v>1261</v>
      </c>
    </row>
    <row r="148" spans="1:8" x14ac:dyDescent="0.2">
      <c r="A148" s="10" t="s">
        <v>686</v>
      </c>
      <c r="B148" s="10" t="s">
        <v>685</v>
      </c>
      <c r="C148" s="10" t="s">
        <v>963</v>
      </c>
      <c r="D148" s="10" t="s">
        <v>1164</v>
      </c>
      <c r="E148" s="10">
        <v>1</v>
      </c>
      <c r="F148" s="10">
        <v>6.2893081761006293E-3</v>
      </c>
      <c r="G148" s="10" t="s">
        <v>100</v>
      </c>
      <c r="H148" s="10" t="s">
        <v>1261</v>
      </c>
    </row>
    <row r="149" spans="1:8" x14ac:dyDescent="0.2">
      <c r="A149" s="10" t="s">
        <v>688</v>
      </c>
      <c r="B149" s="10" t="s">
        <v>687</v>
      </c>
      <c r="C149" s="10" t="s">
        <v>964</v>
      </c>
      <c r="D149" s="10" t="s">
        <v>1165</v>
      </c>
      <c r="E149" s="10">
        <v>1</v>
      </c>
      <c r="F149" s="10">
        <v>6.2893081761006293E-3</v>
      </c>
      <c r="G149" s="10" t="s">
        <v>100</v>
      </c>
      <c r="H149" s="10" t="s">
        <v>1261</v>
      </c>
    </row>
    <row r="150" spans="1:8" x14ac:dyDescent="0.2">
      <c r="A150" s="10" t="s">
        <v>689</v>
      </c>
      <c r="B150" s="10" t="s">
        <v>324</v>
      </c>
      <c r="C150" s="10" t="s">
        <v>326</v>
      </c>
      <c r="D150" s="10" t="s">
        <v>1166</v>
      </c>
      <c r="E150" s="10">
        <v>1</v>
      </c>
      <c r="F150" s="10">
        <v>6.2893081761006293E-3</v>
      </c>
      <c r="G150" s="10" t="s">
        <v>100</v>
      </c>
      <c r="H150" s="10" t="s">
        <v>1261</v>
      </c>
    </row>
    <row r="151" spans="1:8" x14ac:dyDescent="0.2">
      <c r="A151" s="10" t="s">
        <v>691</v>
      </c>
      <c r="B151" s="10" t="s">
        <v>690</v>
      </c>
      <c r="C151" s="10" t="s">
        <v>965</v>
      </c>
      <c r="D151" s="10" t="s">
        <v>1167</v>
      </c>
      <c r="E151" s="10">
        <v>1</v>
      </c>
      <c r="F151" s="10">
        <v>6.2893081761006293E-3</v>
      </c>
      <c r="G151" s="10" t="s">
        <v>100</v>
      </c>
      <c r="H151" s="10" t="s">
        <v>1261</v>
      </c>
    </row>
    <row r="152" spans="1:8" x14ac:dyDescent="0.2">
      <c r="A152" s="10" t="s">
        <v>693</v>
      </c>
      <c r="B152" s="10" t="s">
        <v>692</v>
      </c>
      <c r="C152" s="10" t="s">
        <v>966</v>
      </c>
      <c r="D152" s="10" t="s">
        <v>1168</v>
      </c>
      <c r="E152" s="10">
        <v>1</v>
      </c>
      <c r="F152" s="10">
        <v>6.2893081761006293E-3</v>
      </c>
      <c r="G152" s="10" t="s">
        <v>100</v>
      </c>
      <c r="H152" s="10" t="s">
        <v>1261</v>
      </c>
    </row>
    <row r="153" spans="1:8" x14ac:dyDescent="0.2">
      <c r="A153" s="10" t="s">
        <v>695</v>
      </c>
      <c r="B153" s="10" t="s">
        <v>694</v>
      </c>
      <c r="C153" s="10" t="s">
        <v>967</v>
      </c>
      <c r="D153" s="10" t="s">
        <v>1169</v>
      </c>
      <c r="E153" s="10">
        <v>1</v>
      </c>
      <c r="F153" s="10">
        <v>6.2893081761006293E-3</v>
      </c>
      <c r="G153" s="10" t="s">
        <v>100</v>
      </c>
      <c r="H153" s="10" t="s">
        <v>1261</v>
      </c>
    </row>
    <row r="154" spans="1:8" x14ac:dyDescent="0.2">
      <c r="A154" s="10" t="s">
        <v>697</v>
      </c>
      <c r="B154" s="10" t="s">
        <v>696</v>
      </c>
      <c r="C154" s="10" t="s">
        <v>968</v>
      </c>
      <c r="D154" s="10" t="s">
        <v>1170</v>
      </c>
      <c r="E154" s="10">
        <v>1</v>
      </c>
      <c r="F154" s="10">
        <v>6.2893081761006293E-3</v>
      </c>
      <c r="G154" s="10" t="s">
        <v>100</v>
      </c>
      <c r="H154" s="10" t="s">
        <v>1261</v>
      </c>
    </row>
    <row r="155" spans="1:8" x14ac:dyDescent="0.2">
      <c r="A155" s="10" t="s">
        <v>699</v>
      </c>
      <c r="B155" s="10" t="s">
        <v>698</v>
      </c>
      <c r="C155" s="10" t="s">
        <v>969</v>
      </c>
      <c r="D155" s="10" t="s">
        <v>1171</v>
      </c>
      <c r="E155" s="10">
        <v>1</v>
      </c>
      <c r="F155" s="10">
        <v>6.2893081761006293E-3</v>
      </c>
      <c r="G155" s="10" t="s">
        <v>100</v>
      </c>
      <c r="H155" s="10" t="s">
        <v>1261</v>
      </c>
    </row>
    <row r="156" spans="1:8" x14ac:dyDescent="0.2">
      <c r="A156" s="10" t="s">
        <v>699</v>
      </c>
      <c r="B156" s="10" t="s">
        <v>698</v>
      </c>
      <c r="C156" s="10" t="s">
        <v>970</v>
      </c>
      <c r="D156" s="10" t="s">
        <v>1172</v>
      </c>
      <c r="E156" s="10">
        <v>4</v>
      </c>
      <c r="F156" s="10">
        <v>2.5157232704402517E-2</v>
      </c>
      <c r="G156" s="10" t="s">
        <v>100</v>
      </c>
      <c r="H156" s="10" t="s">
        <v>1261</v>
      </c>
    </row>
    <row r="157" spans="1:8" x14ac:dyDescent="0.2">
      <c r="A157" s="10" t="s">
        <v>699</v>
      </c>
      <c r="B157" s="10" t="s">
        <v>698</v>
      </c>
      <c r="C157" s="10" t="s">
        <v>971</v>
      </c>
      <c r="D157" s="10" t="s">
        <v>1173</v>
      </c>
      <c r="E157" s="10">
        <v>1</v>
      </c>
      <c r="F157" s="10">
        <v>6.2893081761006293E-3</v>
      </c>
      <c r="G157" s="10" t="s">
        <v>100</v>
      </c>
      <c r="H157" s="10" t="s">
        <v>1261</v>
      </c>
    </row>
    <row r="158" spans="1:8" x14ac:dyDescent="0.2">
      <c r="A158" s="10" t="s">
        <v>701</v>
      </c>
      <c r="B158" s="10" t="s">
        <v>700</v>
      </c>
      <c r="C158" s="10" t="s">
        <v>972</v>
      </c>
      <c r="D158" s="10" t="s">
        <v>1174</v>
      </c>
      <c r="E158" s="10">
        <v>1</v>
      </c>
      <c r="F158" s="10">
        <v>6.2893081761006293E-3</v>
      </c>
      <c r="G158" s="10" t="s">
        <v>100</v>
      </c>
      <c r="H158" s="10" t="s">
        <v>1261</v>
      </c>
    </row>
    <row r="159" spans="1:8" x14ac:dyDescent="0.2">
      <c r="A159" s="10" t="s">
        <v>702</v>
      </c>
      <c r="B159" s="10" t="s">
        <v>32</v>
      </c>
      <c r="C159" s="10" t="s">
        <v>973</v>
      </c>
      <c r="E159" s="10">
        <v>1</v>
      </c>
      <c r="F159" s="10">
        <v>6.2893081761006293E-3</v>
      </c>
      <c r="G159" s="10" t="s">
        <v>100</v>
      </c>
      <c r="H159" s="10" t="s">
        <v>1261</v>
      </c>
    </row>
    <row r="160" spans="1:8" x14ac:dyDescent="0.2">
      <c r="A160" s="10" t="s">
        <v>702</v>
      </c>
      <c r="B160" s="10" t="s">
        <v>36</v>
      </c>
      <c r="C160" s="10" t="s">
        <v>974</v>
      </c>
      <c r="D160" s="10" t="s">
        <v>1175</v>
      </c>
      <c r="E160" s="10">
        <v>1</v>
      </c>
      <c r="F160" s="10">
        <v>6.2893081761006293E-3</v>
      </c>
      <c r="G160" s="10" t="s">
        <v>100</v>
      </c>
      <c r="H160" s="10" t="s">
        <v>1261</v>
      </c>
    </row>
    <row r="161" spans="1:8" x14ac:dyDescent="0.2">
      <c r="A161" s="10" t="s">
        <v>704</v>
      </c>
      <c r="B161" s="10" t="s">
        <v>703</v>
      </c>
      <c r="C161" s="10" t="s">
        <v>975</v>
      </c>
      <c r="D161" s="10" t="s">
        <v>1176</v>
      </c>
      <c r="E161" s="10">
        <v>1</v>
      </c>
      <c r="F161" s="10">
        <v>6.2893081761006293E-3</v>
      </c>
      <c r="G161" s="10" t="s">
        <v>100</v>
      </c>
      <c r="H161" s="10" t="s">
        <v>1261</v>
      </c>
    </row>
    <row r="162" spans="1:8" x14ac:dyDescent="0.2">
      <c r="A162" s="10" t="s">
        <v>705</v>
      </c>
      <c r="B162" s="10" t="s">
        <v>703</v>
      </c>
      <c r="C162" s="10" t="s">
        <v>976</v>
      </c>
      <c r="D162" s="10" t="s">
        <v>1177</v>
      </c>
      <c r="E162" s="10">
        <v>1</v>
      </c>
      <c r="F162" s="10">
        <v>6.2893081761006293E-3</v>
      </c>
      <c r="G162" s="10" t="s">
        <v>100</v>
      </c>
      <c r="H162" s="10" t="s">
        <v>1261</v>
      </c>
    </row>
    <row r="163" spans="1:8" x14ac:dyDescent="0.2">
      <c r="A163" s="10" t="s">
        <v>707</v>
      </c>
      <c r="B163" s="10" t="s">
        <v>706</v>
      </c>
      <c r="C163" s="10" t="s">
        <v>977</v>
      </c>
      <c r="D163" s="10" t="s">
        <v>1178</v>
      </c>
      <c r="E163" s="10">
        <v>2</v>
      </c>
      <c r="F163" s="10">
        <v>1.2578616352201259E-2</v>
      </c>
      <c r="G163" s="10" t="s">
        <v>100</v>
      </c>
      <c r="H163" s="10" t="s">
        <v>1261</v>
      </c>
    </row>
    <row r="164" spans="1:8" x14ac:dyDescent="0.2">
      <c r="A164" s="10" t="s">
        <v>709</v>
      </c>
      <c r="B164" s="10" t="s">
        <v>708</v>
      </c>
      <c r="C164" s="10" t="s">
        <v>978</v>
      </c>
      <c r="D164" s="10" t="s">
        <v>1179</v>
      </c>
      <c r="E164" s="10">
        <v>1</v>
      </c>
      <c r="F164" s="10">
        <v>6.2893081761006293E-3</v>
      </c>
      <c r="G164" s="10" t="s">
        <v>100</v>
      </c>
      <c r="H164" s="10" t="s">
        <v>1261</v>
      </c>
    </row>
    <row r="165" spans="1:8" x14ac:dyDescent="0.2">
      <c r="A165" s="10" t="s">
        <v>709</v>
      </c>
      <c r="B165" s="10" t="s">
        <v>708</v>
      </c>
      <c r="C165" s="10" t="s">
        <v>979</v>
      </c>
      <c r="D165" s="10" t="s">
        <v>1180</v>
      </c>
      <c r="E165" s="10">
        <v>1</v>
      </c>
      <c r="F165" s="10">
        <v>6.2893081761006293E-3</v>
      </c>
      <c r="G165" s="10" t="s">
        <v>100</v>
      </c>
      <c r="H165" s="10" t="s">
        <v>1261</v>
      </c>
    </row>
    <row r="166" spans="1:8" x14ac:dyDescent="0.2">
      <c r="A166" s="10" t="s">
        <v>709</v>
      </c>
      <c r="B166" s="10" t="s">
        <v>708</v>
      </c>
      <c r="C166" s="10" t="s">
        <v>980</v>
      </c>
      <c r="D166" s="10" t="s">
        <v>1181</v>
      </c>
      <c r="E166" s="10">
        <v>1</v>
      </c>
      <c r="F166" s="10">
        <v>6.2893081761006293E-3</v>
      </c>
      <c r="G166" s="10" t="s">
        <v>100</v>
      </c>
      <c r="H166" s="10" t="s">
        <v>1261</v>
      </c>
    </row>
    <row r="167" spans="1:8" x14ac:dyDescent="0.2">
      <c r="A167" s="10" t="s">
        <v>709</v>
      </c>
      <c r="B167" s="10" t="s">
        <v>708</v>
      </c>
      <c r="C167" s="10" t="s">
        <v>981</v>
      </c>
      <c r="D167" s="10" t="s">
        <v>1182</v>
      </c>
      <c r="E167" s="10">
        <v>1</v>
      </c>
      <c r="F167" s="10">
        <v>6.2893081761006293E-3</v>
      </c>
      <c r="G167" s="10" t="s">
        <v>100</v>
      </c>
      <c r="H167" s="10" t="s">
        <v>1261</v>
      </c>
    </row>
    <row r="168" spans="1:8" x14ac:dyDescent="0.2">
      <c r="A168" s="10" t="s">
        <v>711</v>
      </c>
      <c r="B168" s="10" t="s">
        <v>710</v>
      </c>
      <c r="C168" s="10" t="s">
        <v>982</v>
      </c>
      <c r="E168" s="10">
        <v>1</v>
      </c>
      <c r="F168" s="10">
        <v>6.2893081761006293E-3</v>
      </c>
      <c r="G168" s="10" t="s">
        <v>100</v>
      </c>
      <c r="H168" s="10" t="s">
        <v>1261</v>
      </c>
    </row>
    <row r="169" spans="1:8" x14ac:dyDescent="0.2">
      <c r="A169" s="10" t="s">
        <v>713</v>
      </c>
      <c r="B169" s="10" t="s">
        <v>712</v>
      </c>
      <c r="C169" s="10" t="s">
        <v>265</v>
      </c>
      <c r="D169" s="10" t="s">
        <v>1183</v>
      </c>
      <c r="E169" s="10">
        <v>1</v>
      </c>
      <c r="F169" s="10">
        <v>6.2893081761006293E-3</v>
      </c>
      <c r="G169" s="10" t="s">
        <v>100</v>
      </c>
      <c r="H169" s="10" t="s">
        <v>1261</v>
      </c>
    </row>
    <row r="170" spans="1:8" x14ac:dyDescent="0.2">
      <c r="A170" s="10" t="s">
        <v>715</v>
      </c>
      <c r="B170" s="10" t="s">
        <v>714</v>
      </c>
      <c r="C170" s="10" t="s">
        <v>983</v>
      </c>
      <c r="D170" s="10" t="s">
        <v>1184</v>
      </c>
      <c r="E170" s="10">
        <v>1</v>
      </c>
      <c r="F170" s="10">
        <v>6.2893081761006293E-3</v>
      </c>
      <c r="G170" s="10" t="s">
        <v>100</v>
      </c>
      <c r="H170" s="10" t="s">
        <v>1261</v>
      </c>
    </row>
    <row r="171" spans="1:8" x14ac:dyDescent="0.2">
      <c r="A171" s="10" t="s">
        <v>717</v>
      </c>
      <c r="B171" s="10" t="s">
        <v>716</v>
      </c>
      <c r="C171" s="10" t="s">
        <v>877</v>
      </c>
      <c r="D171" s="10" t="s">
        <v>1185</v>
      </c>
      <c r="E171" s="10">
        <v>1</v>
      </c>
      <c r="F171" s="10">
        <v>6.2893081761006293E-3</v>
      </c>
      <c r="G171" s="10" t="s">
        <v>100</v>
      </c>
      <c r="H171" s="10" t="s">
        <v>1261</v>
      </c>
    </row>
    <row r="172" spans="1:8" x14ac:dyDescent="0.2">
      <c r="A172" s="10" t="s">
        <v>719</v>
      </c>
      <c r="B172" s="10" t="s">
        <v>718</v>
      </c>
      <c r="C172" s="10" t="s">
        <v>984</v>
      </c>
      <c r="D172" s="10" t="s">
        <v>1186</v>
      </c>
      <c r="E172" s="10">
        <v>1</v>
      </c>
      <c r="F172" s="10">
        <v>6.2893081761006293E-3</v>
      </c>
      <c r="G172" s="10" t="s">
        <v>100</v>
      </c>
      <c r="H172" s="10" t="s">
        <v>1261</v>
      </c>
    </row>
    <row r="173" spans="1:8" x14ac:dyDescent="0.2">
      <c r="A173" s="10" t="s">
        <v>721</v>
      </c>
      <c r="B173" s="10" t="s">
        <v>720</v>
      </c>
      <c r="C173" s="10" t="s">
        <v>985</v>
      </c>
      <c r="E173" s="10">
        <v>1</v>
      </c>
      <c r="F173" s="10">
        <v>6.2893081761006293E-3</v>
      </c>
      <c r="G173" s="10" t="s">
        <v>100</v>
      </c>
      <c r="H173" s="10" t="s">
        <v>1261</v>
      </c>
    </row>
    <row r="174" spans="1:8" x14ac:dyDescent="0.2">
      <c r="A174" s="10" t="s">
        <v>722</v>
      </c>
      <c r="B174" s="10" t="s">
        <v>11</v>
      </c>
      <c r="C174" s="10" t="s">
        <v>986</v>
      </c>
      <c r="D174" s="10" t="s">
        <v>1187</v>
      </c>
      <c r="E174" s="10">
        <v>1</v>
      </c>
      <c r="F174" s="10">
        <v>6.2893081761006293E-3</v>
      </c>
      <c r="G174" s="10" t="s">
        <v>100</v>
      </c>
      <c r="H174" s="10" t="s">
        <v>1261</v>
      </c>
    </row>
    <row r="175" spans="1:8" x14ac:dyDescent="0.2">
      <c r="A175" s="10" t="s">
        <v>724</v>
      </c>
      <c r="B175" s="10" t="s">
        <v>723</v>
      </c>
      <c r="C175" s="10" t="s">
        <v>987</v>
      </c>
      <c r="D175" s="10" t="s">
        <v>1188</v>
      </c>
      <c r="E175" s="10">
        <v>1</v>
      </c>
      <c r="F175" s="10">
        <v>6.2893081761006293E-3</v>
      </c>
      <c r="G175" s="10" t="s">
        <v>100</v>
      </c>
      <c r="H175" s="10" t="s">
        <v>1261</v>
      </c>
    </row>
    <row r="176" spans="1:8" x14ac:dyDescent="0.2">
      <c r="A176" s="10" t="s">
        <v>726</v>
      </c>
      <c r="B176" s="10" t="s">
        <v>725</v>
      </c>
      <c r="C176" s="10" t="s">
        <v>312</v>
      </c>
      <c r="D176" s="10" t="s">
        <v>439</v>
      </c>
      <c r="E176" s="10">
        <v>1</v>
      </c>
      <c r="F176" s="10">
        <v>6.2893081761006293E-3</v>
      </c>
      <c r="G176" s="10" t="s">
        <v>100</v>
      </c>
      <c r="H176" s="10" t="s">
        <v>1261</v>
      </c>
    </row>
    <row r="177" spans="1:8" x14ac:dyDescent="0.2">
      <c r="A177" s="10" t="s">
        <v>728</v>
      </c>
      <c r="B177" s="10" t="s">
        <v>727</v>
      </c>
      <c r="C177" s="10" t="s">
        <v>988</v>
      </c>
      <c r="D177" s="10" t="s">
        <v>1189</v>
      </c>
      <c r="E177" s="10">
        <v>1</v>
      </c>
      <c r="F177" s="10">
        <v>6.2893081761006293E-3</v>
      </c>
      <c r="G177" s="10" t="s">
        <v>100</v>
      </c>
      <c r="H177" s="10" t="s">
        <v>1261</v>
      </c>
    </row>
    <row r="178" spans="1:8" x14ac:dyDescent="0.2">
      <c r="A178" s="10" t="s">
        <v>730</v>
      </c>
      <c r="B178" s="10" t="s">
        <v>729</v>
      </c>
      <c r="C178" s="10" t="s">
        <v>989</v>
      </c>
      <c r="D178" s="10" t="s">
        <v>1190</v>
      </c>
      <c r="E178" s="10">
        <v>1</v>
      </c>
      <c r="F178" s="10">
        <v>6.2893081761006293E-3</v>
      </c>
      <c r="G178" s="10" t="s">
        <v>100</v>
      </c>
      <c r="H178" s="10" t="s">
        <v>1261</v>
      </c>
    </row>
    <row r="179" spans="1:8" x14ac:dyDescent="0.2">
      <c r="A179" s="10" t="s">
        <v>604</v>
      </c>
      <c r="B179" s="10" t="s">
        <v>731</v>
      </c>
      <c r="C179" s="10" t="s">
        <v>990</v>
      </c>
      <c r="D179" s="10" t="s">
        <v>1191</v>
      </c>
      <c r="E179" s="10">
        <v>1</v>
      </c>
      <c r="F179" s="10">
        <v>6.2893081761006293E-3</v>
      </c>
      <c r="G179" s="10" t="s">
        <v>100</v>
      </c>
      <c r="H179" s="10" t="s">
        <v>1261</v>
      </c>
    </row>
    <row r="180" spans="1:8" x14ac:dyDescent="0.2">
      <c r="A180" s="10" t="s">
        <v>733</v>
      </c>
      <c r="B180" s="10" t="s">
        <v>732</v>
      </c>
      <c r="C180" s="10" t="s">
        <v>991</v>
      </c>
      <c r="D180" s="10" t="s">
        <v>1192</v>
      </c>
      <c r="E180" s="10">
        <v>1</v>
      </c>
      <c r="F180" s="10">
        <v>6.2893081761006293E-3</v>
      </c>
      <c r="G180" s="10" t="s">
        <v>100</v>
      </c>
      <c r="H180" s="10" t="s">
        <v>1261</v>
      </c>
    </row>
    <row r="181" spans="1:8" x14ac:dyDescent="0.2">
      <c r="A181" s="10" t="s">
        <v>735</v>
      </c>
      <c r="B181" s="10" t="s">
        <v>734</v>
      </c>
      <c r="C181" s="10" t="s">
        <v>992</v>
      </c>
      <c r="E181" s="10">
        <v>1</v>
      </c>
      <c r="F181" s="10">
        <v>6.2893081761006293E-3</v>
      </c>
      <c r="G181" s="10" t="s">
        <v>100</v>
      </c>
      <c r="H181" s="10" t="s">
        <v>1261</v>
      </c>
    </row>
    <row r="182" spans="1:8" x14ac:dyDescent="0.2">
      <c r="A182" s="10" t="s">
        <v>736</v>
      </c>
      <c r="B182" s="10" t="s">
        <v>734</v>
      </c>
      <c r="C182" s="10" t="s">
        <v>993</v>
      </c>
      <c r="E182" s="10">
        <v>1</v>
      </c>
      <c r="F182" s="10">
        <v>6.2893081761006293E-3</v>
      </c>
      <c r="G182" s="10" t="s">
        <v>100</v>
      </c>
      <c r="H182" s="10" t="s">
        <v>1261</v>
      </c>
    </row>
    <row r="183" spans="1:8" x14ac:dyDescent="0.2">
      <c r="A183" s="10" t="s">
        <v>738</v>
      </c>
      <c r="B183" s="10" t="s">
        <v>737</v>
      </c>
      <c r="C183" s="10" t="s">
        <v>994</v>
      </c>
      <c r="D183" s="10" t="s">
        <v>1193</v>
      </c>
      <c r="E183" s="10">
        <v>1</v>
      </c>
      <c r="F183" s="10">
        <v>6.2893081761006293E-3</v>
      </c>
      <c r="G183" s="10" t="s">
        <v>100</v>
      </c>
      <c r="H183" s="10" t="s">
        <v>1261</v>
      </c>
    </row>
    <row r="184" spans="1:8" x14ac:dyDescent="0.2">
      <c r="A184" s="10" t="s">
        <v>740</v>
      </c>
      <c r="B184" s="10" t="s">
        <v>739</v>
      </c>
      <c r="C184" s="10" t="s">
        <v>995</v>
      </c>
      <c r="D184" s="10" t="s">
        <v>1194</v>
      </c>
      <c r="E184" s="10">
        <v>1</v>
      </c>
      <c r="F184" s="10">
        <v>6.2893081761006293E-3</v>
      </c>
      <c r="G184" s="10" t="s">
        <v>100</v>
      </c>
      <c r="H184" s="10" t="s">
        <v>1261</v>
      </c>
    </row>
    <row r="185" spans="1:8" x14ac:dyDescent="0.2">
      <c r="A185" s="10" t="s">
        <v>742</v>
      </c>
      <c r="B185" s="10" t="s">
        <v>741</v>
      </c>
      <c r="C185" s="10" t="s">
        <v>1254</v>
      </c>
      <c r="D185" s="10" t="s">
        <v>1253</v>
      </c>
      <c r="E185" s="10">
        <v>1</v>
      </c>
      <c r="F185" s="10">
        <v>6.2893081761006293E-3</v>
      </c>
      <c r="G185" s="10" t="s">
        <v>100</v>
      </c>
      <c r="H185" s="10" t="s">
        <v>1261</v>
      </c>
    </row>
    <row r="186" spans="1:8" x14ac:dyDescent="0.2">
      <c r="A186" s="10" t="s">
        <v>743</v>
      </c>
      <c r="B186" s="10" t="s">
        <v>362</v>
      </c>
      <c r="C186" s="10" t="s">
        <v>364</v>
      </c>
      <c r="D186" s="10" t="s">
        <v>462</v>
      </c>
      <c r="E186" s="10">
        <v>2</v>
      </c>
      <c r="F186" s="10">
        <v>1.2578616352201259E-2</v>
      </c>
      <c r="G186" s="10" t="s">
        <v>100</v>
      </c>
      <c r="H186" s="10" t="s">
        <v>1261</v>
      </c>
    </row>
    <row r="187" spans="1:8" x14ac:dyDescent="0.2">
      <c r="A187" s="10" t="s">
        <v>745</v>
      </c>
      <c r="B187" s="10" t="s">
        <v>744</v>
      </c>
      <c r="C187" s="10" t="s">
        <v>996</v>
      </c>
      <c r="E187" s="10">
        <v>1</v>
      </c>
      <c r="F187" s="10">
        <v>6.2893081761006293E-3</v>
      </c>
      <c r="G187" s="10" t="s">
        <v>100</v>
      </c>
      <c r="H187" s="10" t="s">
        <v>1261</v>
      </c>
    </row>
    <row r="188" spans="1:8" x14ac:dyDescent="0.2">
      <c r="A188" s="10" t="s">
        <v>747</v>
      </c>
      <c r="B188" s="10" t="s">
        <v>746</v>
      </c>
      <c r="C188" s="10" t="s">
        <v>997</v>
      </c>
      <c r="E188" s="10">
        <v>1</v>
      </c>
      <c r="F188" s="10">
        <v>6.2893081761006293E-3</v>
      </c>
      <c r="G188" s="10" t="s">
        <v>100</v>
      </c>
      <c r="H188" s="10" t="s">
        <v>1261</v>
      </c>
    </row>
    <row r="189" spans="1:8" x14ac:dyDescent="0.2">
      <c r="A189" s="10" t="s">
        <v>748</v>
      </c>
      <c r="B189" s="10" t="s">
        <v>347</v>
      </c>
      <c r="C189" s="10" t="s">
        <v>998</v>
      </c>
      <c r="D189" s="10" t="s">
        <v>1195</v>
      </c>
      <c r="E189" s="10">
        <v>2</v>
      </c>
      <c r="F189" s="10">
        <v>1.2578616352201259E-2</v>
      </c>
      <c r="G189" s="10" t="s">
        <v>100</v>
      </c>
      <c r="H189" s="10" t="s">
        <v>1261</v>
      </c>
    </row>
    <row r="190" spans="1:8" x14ac:dyDescent="0.2">
      <c r="A190" s="10" t="s">
        <v>749</v>
      </c>
      <c r="B190" s="10" t="s">
        <v>347</v>
      </c>
      <c r="C190" s="10" t="s">
        <v>999</v>
      </c>
      <c r="D190" s="10" t="s">
        <v>1196</v>
      </c>
      <c r="E190" s="10">
        <v>1</v>
      </c>
      <c r="F190" s="10">
        <v>6.2893081761006293E-3</v>
      </c>
      <c r="G190" s="10" t="s">
        <v>100</v>
      </c>
      <c r="H190" s="10" t="s">
        <v>1261</v>
      </c>
    </row>
    <row r="191" spans="1:8" x14ac:dyDescent="0.2">
      <c r="A191" s="10" t="s">
        <v>751</v>
      </c>
      <c r="B191" s="10" t="s">
        <v>750</v>
      </c>
      <c r="C191" s="10" t="s">
        <v>1000</v>
      </c>
      <c r="D191" s="10" t="s">
        <v>1197</v>
      </c>
      <c r="E191" s="10">
        <v>1</v>
      </c>
      <c r="F191" s="10">
        <v>6.2893081761006293E-3</v>
      </c>
      <c r="G191" s="10" t="s">
        <v>100</v>
      </c>
      <c r="H191" s="10" t="s">
        <v>1261</v>
      </c>
    </row>
    <row r="192" spans="1:8" x14ac:dyDescent="0.2">
      <c r="A192" s="10" t="s">
        <v>753</v>
      </c>
      <c r="B192" s="10" t="s">
        <v>752</v>
      </c>
      <c r="C192" s="10" t="s">
        <v>1001</v>
      </c>
      <c r="D192" s="10" t="s">
        <v>1198</v>
      </c>
      <c r="E192" s="10">
        <v>1</v>
      </c>
      <c r="F192" s="10">
        <v>6.2893081761006293E-3</v>
      </c>
      <c r="G192" s="10" t="s">
        <v>100</v>
      </c>
      <c r="H192" s="10" t="s">
        <v>1261</v>
      </c>
    </row>
    <row r="193" spans="1:8" x14ac:dyDescent="0.2">
      <c r="A193" s="10" t="s">
        <v>755</v>
      </c>
      <c r="B193" s="10" t="s">
        <v>754</v>
      </c>
      <c r="C193" s="10" t="s">
        <v>1260</v>
      </c>
      <c r="D193" s="10" t="s">
        <v>1259</v>
      </c>
      <c r="E193" s="10">
        <v>1</v>
      </c>
      <c r="F193" s="10">
        <v>6.2893081761006293E-3</v>
      </c>
      <c r="G193" s="10" t="s">
        <v>100</v>
      </c>
      <c r="H193" s="10" t="s">
        <v>1261</v>
      </c>
    </row>
    <row r="194" spans="1:8" x14ac:dyDescent="0.2">
      <c r="A194" s="10" t="s">
        <v>757</v>
      </c>
      <c r="B194" s="10" t="s">
        <v>756</v>
      </c>
      <c r="C194" s="10" t="s">
        <v>1002</v>
      </c>
      <c r="D194" s="10" t="s">
        <v>1199</v>
      </c>
      <c r="E194" s="10">
        <v>1</v>
      </c>
      <c r="F194" s="10">
        <v>6.2893081761006293E-3</v>
      </c>
      <c r="G194" s="10" t="s">
        <v>100</v>
      </c>
      <c r="H194" s="10" t="s">
        <v>1261</v>
      </c>
    </row>
    <row r="195" spans="1:8" x14ac:dyDescent="0.2">
      <c r="A195" s="10" t="s">
        <v>758</v>
      </c>
      <c r="B195" s="10" t="s">
        <v>266</v>
      </c>
      <c r="C195" s="10" t="s">
        <v>269</v>
      </c>
      <c r="E195" s="10">
        <v>8</v>
      </c>
      <c r="F195" s="10">
        <v>5.0314465408805034E-2</v>
      </c>
      <c r="G195" s="10" t="s">
        <v>100</v>
      </c>
      <c r="H195" s="10" t="s">
        <v>1261</v>
      </c>
    </row>
    <row r="196" spans="1:8" x14ac:dyDescent="0.2">
      <c r="A196" s="10" t="s">
        <v>758</v>
      </c>
      <c r="B196" s="10" t="s">
        <v>266</v>
      </c>
      <c r="C196" s="10" t="s">
        <v>1003</v>
      </c>
      <c r="E196" s="10">
        <v>3</v>
      </c>
      <c r="F196" s="10">
        <v>1.8867924528301886E-2</v>
      </c>
      <c r="G196" s="10" t="s">
        <v>100</v>
      </c>
      <c r="H196" s="10" t="s">
        <v>1261</v>
      </c>
    </row>
    <row r="197" spans="1:8" x14ac:dyDescent="0.2">
      <c r="A197" s="10" t="s">
        <v>760</v>
      </c>
      <c r="B197" s="10" t="s">
        <v>759</v>
      </c>
      <c r="C197" s="10" t="s">
        <v>1004</v>
      </c>
      <c r="D197" s="10" t="s">
        <v>1200</v>
      </c>
      <c r="E197" s="10">
        <v>1</v>
      </c>
      <c r="F197" s="10">
        <v>6.2893081761006293E-3</v>
      </c>
      <c r="G197" s="10" t="s">
        <v>100</v>
      </c>
      <c r="H197" s="10" t="s">
        <v>1261</v>
      </c>
    </row>
    <row r="198" spans="1:8" x14ac:dyDescent="0.2">
      <c r="A198" s="10" t="s">
        <v>493</v>
      </c>
      <c r="B198" s="10" t="s">
        <v>761</v>
      </c>
      <c r="C198" s="10" t="s">
        <v>319</v>
      </c>
      <c r="D198" s="10" t="s">
        <v>440</v>
      </c>
      <c r="E198" s="10">
        <v>1</v>
      </c>
      <c r="F198" s="10">
        <v>6.2893081761006293E-3</v>
      </c>
      <c r="G198" s="10" t="s">
        <v>100</v>
      </c>
      <c r="H198" s="10" t="s">
        <v>1261</v>
      </c>
    </row>
    <row r="199" spans="1:8" x14ac:dyDescent="0.2">
      <c r="A199" s="10" t="s">
        <v>762</v>
      </c>
      <c r="B199" s="10" t="s">
        <v>264</v>
      </c>
      <c r="C199" s="10" t="s">
        <v>1005</v>
      </c>
      <c r="D199" s="10" t="s">
        <v>1201</v>
      </c>
      <c r="E199" s="10">
        <v>1</v>
      </c>
      <c r="F199" s="10">
        <v>6.2893081761006293E-3</v>
      </c>
      <c r="G199" s="10" t="s">
        <v>100</v>
      </c>
      <c r="H199" s="10" t="s">
        <v>1261</v>
      </c>
    </row>
    <row r="200" spans="1:8" x14ac:dyDescent="0.2">
      <c r="A200" s="10" t="s">
        <v>764</v>
      </c>
      <c r="B200" s="10" t="s">
        <v>763</v>
      </c>
      <c r="C200" s="10" t="s">
        <v>1006</v>
      </c>
      <c r="D200" s="10" t="s">
        <v>1202</v>
      </c>
      <c r="E200" s="10">
        <v>1</v>
      </c>
      <c r="F200" s="10">
        <v>6.2893081761006293E-3</v>
      </c>
      <c r="G200" s="10" t="s">
        <v>100</v>
      </c>
      <c r="H200" s="10" t="s">
        <v>1261</v>
      </c>
    </row>
    <row r="201" spans="1:8" x14ac:dyDescent="0.2">
      <c r="A201" s="10" t="s">
        <v>509</v>
      </c>
      <c r="B201" s="10" t="s">
        <v>765</v>
      </c>
      <c r="C201" s="10" t="s">
        <v>1007</v>
      </c>
      <c r="D201" s="10" t="s">
        <v>1203</v>
      </c>
      <c r="E201" s="10">
        <v>2</v>
      </c>
      <c r="F201" s="10">
        <v>1.2578616352201259E-2</v>
      </c>
      <c r="G201" s="10" t="s">
        <v>100</v>
      </c>
      <c r="H201" s="10" t="s">
        <v>1261</v>
      </c>
    </row>
    <row r="202" spans="1:8" x14ac:dyDescent="0.2">
      <c r="A202" s="10" t="s">
        <v>767</v>
      </c>
      <c r="B202" s="10" t="s">
        <v>766</v>
      </c>
      <c r="C202" s="10" t="s">
        <v>1008</v>
      </c>
      <c r="D202" s="10" t="s">
        <v>1204</v>
      </c>
      <c r="E202" s="10">
        <v>1</v>
      </c>
      <c r="F202" s="10">
        <v>6.2893081761006293E-3</v>
      </c>
      <c r="G202" s="10" t="s">
        <v>100</v>
      </c>
      <c r="H202" s="10" t="s">
        <v>1261</v>
      </c>
    </row>
    <row r="203" spans="1:8" x14ac:dyDescent="0.2">
      <c r="A203" s="10" t="s">
        <v>769</v>
      </c>
      <c r="B203" s="10" t="s">
        <v>768</v>
      </c>
      <c r="C203" s="10" t="s">
        <v>1009</v>
      </c>
      <c r="D203" s="10" t="s">
        <v>1205</v>
      </c>
      <c r="E203" s="10">
        <v>1</v>
      </c>
      <c r="F203" s="10">
        <v>6.2893081761006293E-3</v>
      </c>
      <c r="G203" s="10" t="s">
        <v>100</v>
      </c>
      <c r="H203" s="10" t="s">
        <v>1261</v>
      </c>
    </row>
    <row r="204" spans="1:8" x14ac:dyDescent="0.2">
      <c r="A204" s="10" t="s">
        <v>771</v>
      </c>
      <c r="B204" s="10" t="s">
        <v>770</v>
      </c>
      <c r="C204" s="10" t="s">
        <v>1010</v>
      </c>
      <c r="D204" s="10" t="s">
        <v>1206</v>
      </c>
      <c r="E204" s="10">
        <v>1</v>
      </c>
      <c r="F204" s="10">
        <v>6.2893081761006293E-3</v>
      </c>
      <c r="G204" s="10" t="s">
        <v>100</v>
      </c>
      <c r="H204" s="10" t="s">
        <v>1261</v>
      </c>
    </row>
    <row r="205" spans="1:8" x14ac:dyDescent="0.2">
      <c r="A205" s="10" t="s">
        <v>773</v>
      </c>
      <c r="B205" s="10" t="s">
        <v>772</v>
      </c>
      <c r="C205" s="10" t="s">
        <v>1011</v>
      </c>
      <c r="D205" s="10" t="s">
        <v>1207</v>
      </c>
      <c r="E205" s="10">
        <v>1</v>
      </c>
      <c r="F205" s="10">
        <v>6.2893081761006293E-3</v>
      </c>
      <c r="G205" s="10" t="s">
        <v>100</v>
      </c>
      <c r="H205" s="10" t="s">
        <v>1261</v>
      </c>
    </row>
    <row r="206" spans="1:8" x14ac:dyDescent="0.2">
      <c r="A206" s="10" t="s">
        <v>775</v>
      </c>
      <c r="B206" s="10" t="s">
        <v>774</v>
      </c>
      <c r="C206" s="10" t="s">
        <v>1012</v>
      </c>
      <c r="D206" s="10" t="s">
        <v>1208</v>
      </c>
      <c r="E206" s="10">
        <v>1</v>
      </c>
      <c r="F206" s="10">
        <v>6.2893081761006293E-3</v>
      </c>
      <c r="G206" s="10" t="s">
        <v>100</v>
      </c>
      <c r="H206" s="10" t="s">
        <v>1261</v>
      </c>
    </row>
    <row r="207" spans="1:8" x14ac:dyDescent="0.2">
      <c r="A207" s="10" t="s">
        <v>777</v>
      </c>
      <c r="B207" s="10" t="s">
        <v>776</v>
      </c>
      <c r="C207" s="10" t="s">
        <v>1013</v>
      </c>
      <c r="E207" s="10">
        <v>1</v>
      </c>
      <c r="F207" s="10">
        <v>6.2893081761006293E-3</v>
      </c>
      <c r="G207" s="10" t="s">
        <v>100</v>
      </c>
      <c r="H207" s="10" t="s">
        <v>1261</v>
      </c>
    </row>
    <row r="208" spans="1:8" x14ac:dyDescent="0.2">
      <c r="A208" s="10" t="s">
        <v>777</v>
      </c>
      <c r="B208" s="10" t="s">
        <v>776</v>
      </c>
      <c r="C208" s="10" t="s">
        <v>1014</v>
      </c>
      <c r="D208" s="10" t="s">
        <v>1209</v>
      </c>
      <c r="E208" s="10">
        <v>2</v>
      </c>
      <c r="F208" s="10">
        <v>1.2578616352201259E-2</v>
      </c>
      <c r="G208" s="10" t="s">
        <v>100</v>
      </c>
      <c r="H208" s="10" t="s">
        <v>1261</v>
      </c>
    </row>
    <row r="209" spans="1:8" x14ac:dyDescent="0.2">
      <c r="A209" s="10" t="s">
        <v>777</v>
      </c>
      <c r="B209" s="10" t="s">
        <v>776</v>
      </c>
      <c r="C209" s="10" t="s">
        <v>1015</v>
      </c>
      <c r="D209" s="10" t="s">
        <v>1210</v>
      </c>
      <c r="E209" s="10">
        <v>1</v>
      </c>
      <c r="F209" s="10">
        <v>6.2893081761006293E-3</v>
      </c>
      <c r="G209" s="10" t="s">
        <v>100</v>
      </c>
      <c r="H209" s="10" t="s">
        <v>1261</v>
      </c>
    </row>
    <row r="210" spans="1:8" x14ac:dyDescent="0.2">
      <c r="A210" s="10" t="s">
        <v>779</v>
      </c>
      <c r="B210" s="10" t="s">
        <v>778</v>
      </c>
      <c r="C210" s="10" t="s">
        <v>1016</v>
      </c>
      <c r="D210" s="10" t="s">
        <v>1211</v>
      </c>
      <c r="E210" s="10">
        <v>1</v>
      </c>
      <c r="F210" s="10">
        <v>6.2893081761006293E-3</v>
      </c>
      <c r="G210" s="10" t="s">
        <v>100</v>
      </c>
      <c r="H210" s="10" t="s">
        <v>1261</v>
      </c>
    </row>
    <row r="211" spans="1:8" x14ac:dyDescent="0.2">
      <c r="A211" s="10" t="s">
        <v>779</v>
      </c>
      <c r="B211" s="10" t="s">
        <v>778</v>
      </c>
      <c r="C211" s="10" t="s">
        <v>1017</v>
      </c>
      <c r="D211" s="10" t="s">
        <v>1212</v>
      </c>
      <c r="E211" s="10">
        <v>1</v>
      </c>
      <c r="F211" s="10">
        <v>6.2893081761006293E-3</v>
      </c>
      <c r="G211" s="10" t="s">
        <v>100</v>
      </c>
      <c r="H211" s="10" t="s">
        <v>1261</v>
      </c>
    </row>
    <row r="212" spans="1:8" x14ac:dyDescent="0.2">
      <c r="A212" s="10" t="s">
        <v>781</v>
      </c>
      <c r="B212" s="10" t="s">
        <v>780</v>
      </c>
      <c r="C212" s="10" t="s">
        <v>1018</v>
      </c>
      <c r="E212" s="10">
        <v>1</v>
      </c>
      <c r="F212" s="10">
        <v>6.2893081761006293E-3</v>
      </c>
      <c r="G212" s="10" t="s">
        <v>100</v>
      </c>
      <c r="H212" s="10" t="s">
        <v>1261</v>
      </c>
    </row>
    <row r="213" spans="1:8" x14ac:dyDescent="0.2">
      <c r="A213" s="10" t="s">
        <v>783</v>
      </c>
      <c r="B213" s="10" t="s">
        <v>782</v>
      </c>
      <c r="C213" s="10" t="s">
        <v>1019</v>
      </c>
      <c r="D213" s="10" t="s">
        <v>1213</v>
      </c>
      <c r="E213" s="10">
        <v>1</v>
      </c>
      <c r="F213" s="10">
        <v>6.2893081761006293E-3</v>
      </c>
      <c r="G213" s="10" t="s">
        <v>100</v>
      </c>
      <c r="H213" s="10" t="s">
        <v>1261</v>
      </c>
    </row>
    <row r="214" spans="1:8" x14ac:dyDescent="0.2">
      <c r="A214" s="10" t="s">
        <v>784</v>
      </c>
      <c r="B214" s="10" t="s">
        <v>257</v>
      </c>
      <c r="C214" s="10" t="s">
        <v>1020</v>
      </c>
      <c r="D214" s="10" t="s">
        <v>1214</v>
      </c>
      <c r="E214" s="10">
        <v>1</v>
      </c>
      <c r="F214" s="10">
        <v>6.2893081761006293E-3</v>
      </c>
      <c r="G214" s="10" t="s">
        <v>100</v>
      </c>
      <c r="H214" s="10" t="s">
        <v>1261</v>
      </c>
    </row>
    <row r="215" spans="1:8" x14ac:dyDescent="0.2">
      <c r="A215" s="10" t="s">
        <v>616</v>
      </c>
      <c r="B215" s="10" t="s">
        <v>44</v>
      </c>
      <c r="C215" s="10" t="s">
        <v>1258</v>
      </c>
      <c r="D215" s="10" t="s">
        <v>1257</v>
      </c>
      <c r="E215" s="10">
        <v>1</v>
      </c>
      <c r="F215" s="10">
        <v>6.2893081761006293E-3</v>
      </c>
      <c r="G215" s="10" t="s">
        <v>100</v>
      </c>
      <c r="H215" s="10" t="s">
        <v>1261</v>
      </c>
    </row>
    <row r="216" spans="1:8" x14ac:dyDescent="0.2">
      <c r="A216" s="10" t="s">
        <v>786</v>
      </c>
      <c r="B216" s="10" t="s">
        <v>785</v>
      </c>
      <c r="C216" s="10" t="s">
        <v>1021</v>
      </c>
      <c r="D216" s="10" t="s">
        <v>1215</v>
      </c>
      <c r="E216" s="10">
        <v>1</v>
      </c>
      <c r="F216" s="10">
        <v>6.2893081761006293E-3</v>
      </c>
      <c r="G216" s="10" t="s">
        <v>100</v>
      </c>
      <c r="H216" s="10" t="s">
        <v>1261</v>
      </c>
    </row>
    <row r="217" spans="1:8" x14ac:dyDescent="0.2">
      <c r="A217" s="10" t="s">
        <v>786</v>
      </c>
      <c r="B217" s="10" t="s">
        <v>785</v>
      </c>
      <c r="C217" s="10" t="s">
        <v>1022</v>
      </c>
      <c r="D217" s="10" t="s">
        <v>1216</v>
      </c>
      <c r="E217" s="10">
        <v>1</v>
      </c>
      <c r="F217" s="10">
        <v>6.2893081761006293E-3</v>
      </c>
      <c r="G217" s="10" t="s">
        <v>100</v>
      </c>
      <c r="H217" s="10" t="s">
        <v>1261</v>
      </c>
    </row>
    <row r="218" spans="1:8" x14ac:dyDescent="0.2">
      <c r="A218" s="10" t="s">
        <v>788</v>
      </c>
      <c r="B218" s="10" t="s">
        <v>787</v>
      </c>
      <c r="C218" s="10" t="s">
        <v>1023</v>
      </c>
      <c r="E218" s="10">
        <v>1</v>
      </c>
      <c r="F218" s="10">
        <v>6.2893081761006293E-3</v>
      </c>
      <c r="G218" s="10" t="s">
        <v>100</v>
      </c>
      <c r="H218" s="10" t="s">
        <v>1261</v>
      </c>
    </row>
    <row r="219" spans="1:8" x14ac:dyDescent="0.2">
      <c r="A219" s="10" t="s">
        <v>786</v>
      </c>
      <c r="B219" s="10" t="s">
        <v>350</v>
      </c>
      <c r="C219" s="10" t="s">
        <v>352</v>
      </c>
      <c r="D219" s="10" t="s">
        <v>457</v>
      </c>
      <c r="E219" s="10">
        <v>1</v>
      </c>
      <c r="F219" s="10">
        <v>6.2893081761006293E-3</v>
      </c>
      <c r="G219" s="10" t="s">
        <v>100</v>
      </c>
      <c r="H219" s="10" t="s">
        <v>1261</v>
      </c>
    </row>
    <row r="220" spans="1:8" x14ac:dyDescent="0.2">
      <c r="A220" s="10" t="s">
        <v>790</v>
      </c>
      <c r="B220" s="10" t="s">
        <v>789</v>
      </c>
      <c r="C220" s="10" t="s">
        <v>1024</v>
      </c>
      <c r="D220" s="10" t="s">
        <v>1217</v>
      </c>
      <c r="E220" s="10">
        <v>1</v>
      </c>
      <c r="F220" s="10">
        <v>6.2893081761006293E-3</v>
      </c>
      <c r="G220" s="10" t="s">
        <v>100</v>
      </c>
      <c r="H220" s="10" t="s">
        <v>1261</v>
      </c>
    </row>
    <row r="221" spans="1:8" x14ac:dyDescent="0.2">
      <c r="A221" s="10" t="s">
        <v>792</v>
      </c>
      <c r="B221" s="10" t="s">
        <v>791</v>
      </c>
      <c r="C221" s="10" t="s">
        <v>1025</v>
      </c>
      <c r="D221" s="10" t="s">
        <v>1218</v>
      </c>
      <c r="E221" s="10">
        <v>1</v>
      </c>
      <c r="F221" s="10">
        <v>6.2893081761006293E-3</v>
      </c>
      <c r="G221" s="10" t="s">
        <v>100</v>
      </c>
      <c r="H221" s="10" t="s">
        <v>1261</v>
      </c>
    </row>
    <row r="222" spans="1:8" x14ac:dyDescent="0.2">
      <c r="A222" s="10" t="s">
        <v>792</v>
      </c>
      <c r="B222" s="10" t="s">
        <v>793</v>
      </c>
      <c r="C222" s="10" t="s">
        <v>1026</v>
      </c>
      <c r="D222" s="10" t="s">
        <v>1219</v>
      </c>
      <c r="E222" s="10">
        <v>1</v>
      </c>
      <c r="F222" s="10">
        <v>6.2893081761006293E-3</v>
      </c>
      <c r="G222" s="10" t="s">
        <v>100</v>
      </c>
      <c r="H222" s="10" t="s">
        <v>1261</v>
      </c>
    </row>
    <row r="223" spans="1:8" x14ac:dyDescent="0.2">
      <c r="A223" s="10" t="s">
        <v>792</v>
      </c>
      <c r="B223" s="10" t="s">
        <v>793</v>
      </c>
      <c r="C223" s="10" t="s">
        <v>1027</v>
      </c>
      <c r="D223" s="10" t="s">
        <v>1220</v>
      </c>
      <c r="E223" s="10">
        <v>1</v>
      </c>
      <c r="F223" s="10">
        <v>6.2893081761006293E-3</v>
      </c>
      <c r="G223" s="10" t="s">
        <v>100</v>
      </c>
      <c r="H223" s="10" t="s">
        <v>1261</v>
      </c>
    </row>
    <row r="224" spans="1:8" x14ac:dyDescent="0.2">
      <c r="A224" s="10" t="s">
        <v>795</v>
      </c>
      <c r="B224" s="10" t="s">
        <v>794</v>
      </c>
      <c r="C224" s="10" t="s">
        <v>1028</v>
      </c>
      <c r="D224" s="10" t="s">
        <v>1221</v>
      </c>
      <c r="E224" s="10">
        <v>1</v>
      </c>
      <c r="F224" s="10">
        <v>6.2893081761006293E-3</v>
      </c>
      <c r="G224" s="10" t="s">
        <v>100</v>
      </c>
      <c r="H224" s="10" t="s">
        <v>1261</v>
      </c>
    </row>
    <row r="225" spans="1:8" x14ac:dyDescent="0.2">
      <c r="A225" s="10" t="s">
        <v>673</v>
      </c>
      <c r="B225" s="10" t="s">
        <v>796</v>
      </c>
      <c r="C225" s="10" t="s">
        <v>1029</v>
      </c>
      <c r="D225" s="10" t="s">
        <v>1222</v>
      </c>
      <c r="E225" s="10">
        <v>1</v>
      </c>
      <c r="F225" s="10">
        <v>6.2893081761006293E-3</v>
      </c>
      <c r="G225" s="10" t="s">
        <v>100</v>
      </c>
      <c r="H225" s="10" t="s">
        <v>1261</v>
      </c>
    </row>
    <row r="226" spans="1:8" x14ac:dyDescent="0.2">
      <c r="A226" s="10" t="s">
        <v>798</v>
      </c>
      <c r="B226" s="10" t="s">
        <v>797</v>
      </c>
      <c r="C226" s="10" t="s">
        <v>1030</v>
      </c>
      <c r="D226" s="10" t="s">
        <v>1223</v>
      </c>
      <c r="E226" s="10">
        <v>1</v>
      </c>
      <c r="F226" s="10">
        <v>6.2893081761006293E-3</v>
      </c>
      <c r="G226" s="10" t="s">
        <v>100</v>
      </c>
      <c r="H226" s="10" t="s">
        <v>1261</v>
      </c>
    </row>
    <row r="227" spans="1:8" x14ac:dyDescent="0.2">
      <c r="A227" s="10" t="s">
        <v>800</v>
      </c>
      <c r="B227" s="10" t="s">
        <v>799</v>
      </c>
      <c r="C227" s="10" t="s">
        <v>1031</v>
      </c>
      <c r="D227" s="10" t="s">
        <v>1224</v>
      </c>
      <c r="E227" s="10">
        <v>1</v>
      </c>
      <c r="F227" s="10">
        <v>6.2893081761006293E-3</v>
      </c>
      <c r="G227" s="10" t="s">
        <v>100</v>
      </c>
      <c r="H227" s="10" t="s">
        <v>1261</v>
      </c>
    </row>
    <row r="228" spans="1:8" x14ac:dyDescent="0.2">
      <c r="A228" s="10" t="s">
        <v>764</v>
      </c>
      <c r="B228" s="10" t="s">
        <v>801</v>
      </c>
      <c r="C228" s="10" t="s">
        <v>1032</v>
      </c>
      <c r="D228" s="10" t="s">
        <v>1225</v>
      </c>
      <c r="E228" s="10">
        <v>1</v>
      </c>
      <c r="F228" s="10">
        <v>6.2893081761006293E-3</v>
      </c>
      <c r="G228" s="10" t="s">
        <v>100</v>
      </c>
      <c r="H228" s="10" t="s">
        <v>1261</v>
      </c>
    </row>
    <row r="229" spans="1:8" x14ac:dyDescent="0.2">
      <c r="A229" s="10" t="s">
        <v>803</v>
      </c>
      <c r="B229" s="10" t="s">
        <v>802</v>
      </c>
      <c r="C229" s="10" t="s">
        <v>1033</v>
      </c>
      <c r="D229" s="10" t="s">
        <v>1226</v>
      </c>
      <c r="E229" s="10">
        <v>1</v>
      </c>
      <c r="F229" s="10">
        <v>6.2893081761006293E-3</v>
      </c>
      <c r="G229" s="10" t="s">
        <v>100</v>
      </c>
      <c r="H229" s="10" t="s">
        <v>1261</v>
      </c>
    </row>
    <row r="230" spans="1:8" x14ac:dyDescent="0.2">
      <c r="A230" s="10" t="s">
        <v>686</v>
      </c>
      <c r="B230" s="10" t="s">
        <v>804</v>
      </c>
      <c r="C230" s="10" t="s">
        <v>285</v>
      </c>
      <c r="D230" s="10" t="s">
        <v>1227</v>
      </c>
      <c r="E230" s="10">
        <v>1</v>
      </c>
      <c r="F230" s="10">
        <v>6.2893081761006293E-3</v>
      </c>
      <c r="G230" s="10" t="s">
        <v>100</v>
      </c>
      <c r="H230" s="10" t="s">
        <v>1261</v>
      </c>
    </row>
    <row r="231" spans="1:8" x14ac:dyDescent="0.2">
      <c r="A231" s="10" t="s">
        <v>673</v>
      </c>
      <c r="B231" s="10" t="s">
        <v>805</v>
      </c>
      <c r="C231" s="10" t="s">
        <v>1034</v>
      </c>
      <c r="D231" s="10" t="s">
        <v>1228</v>
      </c>
      <c r="E231" s="10">
        <v>1</v>
      </c>
      <c r="F231" s="10">
        <v>6.2893081761006293E-3</v>
      </c>
      <c r="G231" s="10" t="s">
        <v>100</v>
      </c>
      <c r="H231" s="10" t="s">
        <v>1261</v>
      </c>
    </row>
    <row r="232" spans="1:8" x14ac:dyDescent="0.2">
      <c r="A232" s="10" t="s">
        <v>807</v>
      </c>
      <c r="B232" s="10" t="s">
        <v>806</v>
      </c>
      <c r="C232" s="10" t="s">
        <v>1035</v>
      </c>
      <c r="D232" s="10" t="s">
        <v>1229</v>
      </c>
      <c r="E232" s="10">
        <v>1</v>
      </c>
      <c r="F232" s="10">
        <v>6.2893081761006293E-3</v>
      </c>
      <c r="G232" s="10" t="s">
        <v>100</v>
      </c>
      <c r="H232" s="10" t="s">
        <v>1261</v>
      </c>
    </row>
    <row r="233" spans="1:8" x14ac:dyDescent="0.2">
      <c r="A233" s="10" t="s">
        <v>809</v>
      </c>
      <c r="B233" s="10" t="s">
        <v>808</v>
      </c>
      <c r="C233" s="10" t="s">
        <v>1036</v>
      </c>
      <c r="E233" s="10">
        <v>1</v>
      </c>
      <c r="F233" s="10">
        <v>6.2893081761006293E-3</v>
      </c>
      <c r="G233" s="10" t="s">
        <v>100</v>
      </c>
      <c r="H233" s="10" t="s">
        <v>1261</v>
      </c>
    </row>
    <row r="234" spans="1:8" x14ac:dyDescent="0.2">
      <c r="A234" s="10" t="s">
        <v>602</v>
      </c>
      <c r="B234" s="10" t="s">
        <v>810</v>
      </c>
      <c r="C234" s="10" t="s">
        <v>1037</v>
      </c>
      <c r="D234" s="10" t="s">
        <v>1230</v>
      </c>
      <c r="E234" s="10">
        <v>1</v>
      </c>
      <c r="F234" s="10">
        <v>6.2893081761006293E-3</v>
      </c>
      <c r="G234" s="10" t="s">
        <v>100</v>
      </c>
      <c r="H234" s="10" t="s">
        <v>1261</v>
      </c>
    </row>
    <row r="235" spans="1:8" x14ac:dyDescent="0.2">
      <c r="A235" s="10" t="s">
        <v>812</v>
      </c>
      <c r="B235" s="10" t="s">
        <v>811</v>
      </c>
      <c r="C235" s="10" t="s">
        <v>1038</v>
      </c>
      <c r="D235" s="10" t="s">
        <v>1231</v>
      </c>
      <c r="E235" s="10">
        <v>1</v>
      </c>
      <c r="F235" s="10">
        <v>6.2893081761006293E-3</v>
      </c>
      <c r="G235" s="10" t="s">
        <v>100</v>
      </c>
      <c r="H235" s="10" t="s">
        <v>1261</v>
      </c>
    </row>
    <row r="236" spans="1:8" x14ac:dyDescent="0.2">
      <c r="A236" s="10" t="s">
        <v>814</v>
      </c>
      <c r="B236" s="10" t="s">
        <v>813</v>
      </c>
      <c r="C236" s="10" t="s">
        <v>1039</v>
      </c>
      <c r="D236" s="10" t="s">
        <v>1232</v>
      </c>
      <c r="E236" s="10">
        <v>1</v>
      </c>
      <c r="F236" s="10">
        <v>6.2893081761006293E-3</v>
      </c>
      <c r="G236" s="10" t="s">
        <v>100</v>
      </c>
      <c r="H236" s="10" t="s">
        <v>1261</v>
      </c>
    </row>
    <row r="237" spans="1:8" x14ac:dyDescent="0.2">
      <c r="A237" s="10" t="s">
        <v>814</v>
      </c>
      <c r="B237" s="10" t="s">
        <v>813</v>
      </c>
      <c r="C237" s="10" t="s">
        <v>1040</v>
      </c>
      <c r="D237" s="10" t="s">
        <v>1233</v>
      </c>
      <c r="E237" s="10">
        <v>1</v>
      </c>
      <c r="F237" s="10">
        <v>6.2893081761006293E-3</v>
      </c>
      <c r="G237" s="10" t="s">
        <v>100</v>
      </c>
      <c r="H237" s="10" t="s">
        <v>1261</v>
      </c>
    </row>
    <row r="238" spans="1:8" x14ac:dyDescent="0.2">
      <c r="A238" s="10" t="s">
        <v>814</v>
      </c>
      <c r="B238" s="10" t="s">
        <v>813</v>
      </c>
      <c r="C238" s="10" t="s">
        <v>92</v>
      </c>
      <c r="D238" s="10" t="s">
        <v>1234</v>
      </c>
      <c r="E238" s="10">
        <v>1</v>
      </c>
      <c r="F238" s="10">
        <v>6.2893081761006293E-3</v>
      </c>
      <c r="G238" s="10" t="s">
        <v>100</v>
      </c>
      <c r="H238" s="10" t="s">
        <v>1261</v>
      </c>
    </row>
    <row r="239" spans="1:8" x14ac:dyDescent="0.2">
      <c r="A239" s="10" t="s">
        <v>816</v>
      </c>
      <c r="B239" s="10" t="s">
        <v>815</v>
      </c>
      <c r="C239" s="10" t="s">
        <v>1041</v>
      </c>
      <c r="D239" s="10" t="s">
        <v>1235</v>
      </c>
      <c r="E239" s="10">
        <v>1</v>
      </c>
      <c r="F239" s="10">
        <v>6.2893081761006293E-3</v>
      </c>
      <c r="G239" s="10" t="s">
        <v>100</v>
      </c>
      <c r="H239" s="10" t="s">
        <v>1261</v>
      </c>
    </row>
    <row r="240" spans="1:8" x14ac:dyDescent="0.2">
      <c r="A240" s="10" t="s">
        <v>818</v>
      </c>
      <c r="B240" s="10" t="s">
        <v>817</v>
      </c>
      <c r="C240" s="10" t="s">
        <v>1042</v>
      </c>
      <c r="E240" s="10">
        <v>1</v>
      </c>
      <c r="F240" s="10">
        <v>6.2893081761006293E-3</v>
      </c>
      <c r="G240" s="10" t="s">
        <v>100</v>
      </c>
      <c r="H240" s="10" t="s">
        <v>1261</v>
      </c>
    </row>
    <row r="241" spans="1:8" x14ac:dyDescent="0.2">
      <c r="A241" s="10" t="s">
        <v>819</v>
      </c>
      <c r="B241" s="10" t="s">
        <v>274</v>
      </c>
      <c r="C241" s="10" t="s">
        <v>276</v>
      </c>
      <c r="D241" s="10" t="s">
        <v>431</v>
      </c>
      <c r="E241" s="10">
        <v>2</v>
      </c>
      <c r="F241" s="10">
        <v>1.2578616352201259E-2</v>
      </c>
      <c r="G241" s="10" t="s">
        <v>100</v>
      </c>
      <c r="H241" s="10" t="s">
        <v>1261</v>
      </c>
    </row>
    <row r="242" spans="1:8" x14ac:dyDescent="0.2">
      <c r="A242" s="10" t="s">
        <v>819</v>
      </c>
      <c r="B242" s="10" t="s">
        <v>274</v>
      </c>
      <c r="C242" s="10" t="s">
        <v>1043</v>
      </c>
      <c r="E242" s="10">
        <v>1</v>
      </c>
      <c r="F242" s="10">
        <v>6.2893081761006293E-3</v>
      </c>
      <c r="G242" s="10" t="s">
        <v>100</v>
      </c>
      <c r="H242" s="10" t="s">
        <v>1261</v>
      </c>
    </row>
    <row r="243" spans="1:8" x14ac:dyDescent="0.2">
      <c r="A243" s="10" t="s">
        <v>819</v>
      </c>
      <c r="B243" s="10" t="s">
        <v>274</v>
      </c>
      <c r="C243" s="10" t="s">
        <v>1044</v>
      </c>
      <c r="D243" s="10" t="s">
        <v>1236</v>
      </c>
      <c r="E243" s="10">
        <v>1</v>
      </c>
      <c r="F243" s="10">
        <v>6.2893081761006293E-3</v>
      </c>
      <c r="G243" s="10" t="s">
        <v>100</v>
      </c>
      <c r="H243" s="10" t="s">
        <v>1261</v>
      </c>
    </row>
    <row r="244" spans="1:8" x14ac:dyDescent="0.2">
      <c r="A244" s="10" t="s">
        <v>819</v>
      </c>
      <c r="B244" s="10" t="s">
        <v>274</v>
      </c>
      <c r="C244" s="10" t="s">
        <v>1045</v>
      </c>
      <c r="D244" s="10" t="s">
        <v>1237</v>
      </c>
      <c r="E244" s="10">
        <v>1</v>
      </c>
      <c r="F244" s="10">
        <v>6.2893081761006293E-3</v>
      </c>
      <c r="G244" s="10" t="s">
        <v>100</v>
      </c>
      <c r="H244" s="10" t="s">
        <v>1261</v>
      </c>
    </row>
    <row r="245" spans="1:8" x14ac:dyDescent="0.2">
      <c r="A245" s="10" t="s">
        <v>821</v>
      </c>
      <c r="B245" s="10" t="s">
        <v>820</v>
      </c>
      <c r="C245" s="10" t="s">
        <v>1046</v>
      </c>
      <c r="D245" s="10" t="s">
        <v>1238</v>
      </c>
      <c r="E245" s="10">
        <v>1</v>
      </c>
      <c r="F245" s="10">
        <v>6.2893081761006293E-3</v>
      </c>
      <c r="G245" s="10" t="s">
        <v>100</v>
      </c>
      <c r="H245" s="10" t="s">
        <v>1261</v>
      </c>
    </row>
    <row r="246" spans="1:8" x14ac:dyDescent="0.2">
      <c r="A246" s="10" t="s">
        <v>823</v>
      </c>
      <c r="B246" s="10" t="s">
        <v>822</v>
      </c>
      <c r="C246" s="10" t="s">
        <v>1047</v>
      </c>
      <c r="D246" s="10" t="s">
        <v>1239</v>
      </c>
      <c r="E246" s="10">
        <v>1</v>
      </c>
      <c r="F246" s="10">
        <v>6.2893081761006293E-3</v>
      </c>
      <c r="G246" s="10" t="s">
        <v>100</v>
      </c>
      <c r="H246" s="10" t="s">
        <v>1261</v>
      </c>
    </row>
    <row r="247" spans="1:8" x14ac:dyDescent="0.2">
      <c r="A247" s="10" t="s">
        <v>823</v>
      </c>
      <c r="B247" s="10" t="s">
        <v>824</v>
      </c>
      <c r="C247" s="10" t="s">
        <v>1048</v>
      </c>
      <c r="D247" s="10" t="s">
        <v>1240</v>
      </c>
      <c r="E247" s="10">
        <v>1</v>
      </c>
      <c r="F247" s="10">
        <v>6.2893081761006293E-3</v>
      </c>
      <c r="G247" s="10" t="s">
        <v>100</v>
      </c>
      <c r="H247" s="10" t="s">
        <v>1261</v>
      </c>
    </row>
    <row r="248" spans="1:8" x14ac:dyDescent="0.2">
      <c r="A248" s="10" t="s">
        <v>823</v>
      </c>
      <c r="B248" s="10" t="s">
        <v>824</v>
      </c>
      <c r="C248" s="10" t="s">
        <v>1256</v>
      </c>
      <c r="D248" s="10" t="s">
        <v>1255</v>
      </c>
      <c r="E248" s="10">
        <v>1</v>
      </c>
      <c r="F248" s="10">
        <v>6.2893081761006293E-3</v>
      </c>
      <c r="G248" s="10" t="s">
        <v>100</v>
      </c>
      <c r="H248" s="10" t="s">
        <v>1261</v>
      </c>
    </row>
    <row r="249" spans="1:8" x14ac:dyDescent="0.2">
      <c r="A249" s="10" t="s">
        <v>825</v>
      </c>
      <c r="B249" s="10" t="s">
        <v>295</v>
      </c>
      <c r="C249" s="10" t="s">
        <v>1049</v>
      </c>
      <c r="D249" s="10" t="s">
        <v>1241</v>
      </c>
      <c r="E249" s="10">
        <v>1</v>
      </c>
      <c r="F249" s="10">
        <v>6.2893081761006293E-3</v>
      </c>
      <c r="G249" s="10" t="s">
        <v>100</v>
      </c>
      <c r="H249" s="10" t="s">
        <v>1261</v>
      </c>
    </row>
    <row r="250" spans="1:8" x14ac:dyDescent="0.2">
      <c r="A250" s="10" t="s">
        <v>826</v>
      </c>
      <c r="B250" s="10" t="s">
        <v>295</v>
      </c>
      <c r="C250" s="10" t="s">
        <v>297</v>
      </c>
      <c r="D250" s="10" t="s">
        <v>435</v>
      </c>
      <c r="E250" s="10">
        <v>2</v>
      </c>
      <c r="F250" s="10">
        <v>1.2578616352201259E-2</v>
      </c>
      <c r="G250" s="10" t="s">
        <v>100</v>
      </c>
      <c r="H250" s="10" t="s">
        <v>1261</v>
      </c>
    </row>
    <row r="251" spans="1:8" x14ac:dyDescent="0.2">
      <c r="A251" s="10" t="s">
        <v>828</v>
      </c>
      <c r="B251" s="10" t="s">
        <v>827</v>
      </c>
      <c r="C251" s="10" t="s">
        <v>1050</v>
      </c>
      <c r="D251" s="10" t="s">
        <v>1242</v>
      </c>
      <c r="E251" s="10">
        <v>1</v>
      </c>
      <c r="F251" s="10">
        <v>6.2893081761006293E-3</v>
      </c>
      <c r="G251" s="10" t="s">
        <v>100</v>
      </c>
      <c r="H251" s="10" t="s">
        <v>1261</v>
      </c>
    </row>
    <row r="252" spans="1:8" x14ac:dyDescent="0.2">
      <c r="A252" s="10" t="s">
        <v>829</v>
      </c>
      <c r="B252" s="10" t="s">
        <v>304</v>
      </c>
      <c r="C252" s="10" t="s">
        <v>1051</v>
      </c>
      <c r="D252" s="10" t="s">
        <v>1243</v>
      </c>
      <c r="E252" s="10">
        <v>1</v>
      </c>
      <c r="F252" s="10">
        <v>6.2893081761006293E-3</v>
      </c>
      <c r="G252" s="10" t="s">
        <v>100</v>
      </c>
      <c r="H252" s="10" t="s">
        <v>1261</v>
      </c>
    </row>
    <row r="253" spans="1:8" x14ac:dyDescent="0.2">
      <c r="A253" s="10" t="s">
        <v>831</v>
      </c>
      <c r="B253" s="10" t="s">
        <v>830</v>
      </c>
      <c r="C253" s="10" t="s">
        <v>1052</v>
      </c>
      <c r="E253" s="10">
        <v>1</v>
      </c>
      <c r="F253" s="10">
        <v>6.2893081761006293E-3</v>
      </c>
      <c r="G253" s="10" t="s">
        <v>100</v>
      </c>
      <c r="H253" s="10" t="s">
        <v>1261</v>
      </c>
    </row>
    <row r="254" spans="1:8" x14ac:dyDescent="0.2">
      <c r="A254" s="10" t="s">
        <v>831</v>
      </c>
      <c r="B254" s="10" t="s">
        <v>830</v>
      </c>
      <c r="C254" s="10" t="s">
        <v>1053</v>
      </c>
      <c r="D254" s="10" t="s">
        <v>1244</v>
      </c>
      <c r="E254" s="10">
        <v>1</v>
      </c>
      <c r="F254" s="10">
        <v>6.2893081761006293E-3</v>
      </c>
      <c r="G254" s="10" t="s">
        <v>100</v>
      </c>
      <c r="H254" s="10" t="s">
        <v>1261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2C9D-2DAB-594E-8520-0B15A7EC2926}">
  <dimension ref="A1:H121"/>
  <sheetViews>
    <sheetView workbookViewId="0">
      <selection activeCell="F11" sqref="F11"/>
    </sheetView>
  </sheetViews>
  <sheetFormatPr baseColWidth="10" defaultRowHeight="16" x14ac:dyDescent="0.2"/>
  <sheetData>
    <row r="1" spans="1:8" s="12" customFormat="1" x14ac:dyDescent="0.2">
      <c r="A1" s="12" t="s">
        <v>1281</v>
      </c>
      <c r="B1" s="12" t="s">
        <v>71</v>
      </c>
      <c r="C1" s="12" t="s">
        <v>45</v>
      </c>
      <c r="D1" s="12" t="s">
        <v>46</v>
      </c>
      <c r="E1" s="9" t="s">
        <v>1262</v>
      </c>
      <c r="F1" s="9" t="s">
        <v>1263</v>
      </c>
      <c r="G1" s="12" t="s">
        <v>47</v>
      </c>
      <c r="H1" s="12" t="s">
        <v>70</v>
      </c>
    </row>
    <row r="2" spans="1:8" x14ac:dyDescent="0.2">
      <c r="A2" t="s">
        <v>279</v>
      </c>
      <c r="B2" t="s">
        <v>278</v>
      </c>
      <c r="C2" t="s">
        <v>478</v>
      </c>
      <c r="E2">
        <v>1</v>
      </c>
      <c r="F2" t="s">
        <v>1274</v>
      </c>
      <c r="G2" t="s">
        <v>138</v>
      </c>
      <c r="H2" t="s">
        <v>479</v>
      </c>
    </row>
    <row r="3" spans="1:8" x14ac:dyDescent="0.2">
      <c r="A3" t="s">
        <v>1275</v>
      </c>
      <c r="B3" t="s">
        <v>191</v>
      </c>
      <c r="C3" t="s">
        <v>261</v>
      </c>
      <c r="D3" t="s">
        <v>427</v>
      </c>
      <c r="E3">
        <v>1</v>
      </c>
      <c r="F3" t="s">
        <v>1274</v>
      </c>
      <c r="G3" t="s">
        <v>138</v>
      </c>
      <c r="H3" t="s">
        <v>479</v>
      </c>
    </row>
    <row r="4" spans="1:8" x14ac:dyDescent="0.2">
      <c r="A4" t="s">
        <v>252</v>
      </c>
      <c r="B4" t="s">
        <v>251</v>
      </c>
      <c r="C4" t="s">
        <v>253</v>
      </c>
      <c r="D4" t="s">
        <v>423</v>
      </c>
      <c r="E4">
        <v>1</v>
      </c>
      <c r="F4" t="s">
        <v>1274</v>
      </c>
      <c r="G4" t="s">
        <v>138</v>
      </c>
      <c r="H4" t="s">
        <v>479</v>
      </c>
    </row>
    <row r="5" spans="1:8" x14ac:dyDescent="0.2">
      <c r="A5" t="s">
        <v>329</v>
      </c>
      <c r="B5" t="s">
        <v>328</v>
      </c>
      <c r="C5" t="s">
        <v>330</v>
      </c>
      <c r="D5" t="s">
        <v>450</v>
      </c>
      <c r="E5">
        <v>1</v>
      </c>
      <c r="F5" t="s">
        <v>1274</v>
      </c>
      <c r="G5" t="s">
        <v>138</v>
      </c>
      <c r="H5" t="s">
        <v>479</v>
      </c>
    </row>
    <row r="6" spans="1:8" x14ac:dyDescent="0.2">
      <c r="A6" t="s">
        <v>357</v>
      </c>
      <c r="B6" t="s">
        <v>356</v>
      </c>
      <c r="C6" t="s">
        <v>358</v>
      </c>
      <c r="D6" t="s">
        <v>460</v>
      </c>
      <c r="E6">
        <v>1</v>
      </c>
      <c r="F6" t="s">
        <v>1274</v>
      </c>
      <c r="G6" t="s">
        <v>138</v>
      </c>
      <c r="H6" t="s">
        <v>479</v>
      </c>
    </row>
    <row r="7" spans="1:8" x14ac:dyDescent="0.2">
      <c r="A7" t="s">
        <v>391</v>
      </c>
      <c r="B7" t="s">
        <v>390</v>
      </c>
      <c r="C7" t="s">
        <v>392</v>
      </c>
      <c r="D7" t="s">
        <v>469</v>
      </c>
      <c r="E7">
        <v>1</v>
      </c>
      <c r="F7" t="s">
        <v>1274</v>
      </c>
      <c r="G7" t="s">
        <v>138</v>
      </c>
      <c r="H7" t="s">
        <v>479</v>
      </c>
    </row>
    <row r="8" spans="1:8" x14ac:dyDescent="0.2">
      <c r="A8" t="s">
        <v>302</v>
      </c>
      <c r="B8" t="s">
        <v>301</v>
      </c>
      <c r="C8" t="s">
        <v>303</v>
      </c>
      <c r="D8" t="s">
        <v>437</v>
      </c>
      <c r="E8">
        <v>1</v>
      </c>
      <c r="F8" t="s">
        <v>1274</v>
      </c>
      <c r="G8" t="s">
        <v>138</v>
      </c>
      <c r="H8" t="s">
        <v>479</v>
      </c>
    </row>
    <row r="9" spans="1:8" x14ac:dyDescent="0.2">
      <c r="A9" t="s">
        <v>343</v>
      </c>
      <c r="B9" t="s">
        <v>301</v>
      </c>
      <c r="C9" t="s">
        <v>344</v>
      </c>
      <c r="E9">
        <v>1</v>
      </c>
      <c r="F9" t="s">
        <v>1274</v>
      </c>
      <c r="G9" t="s">
        <v>138</v>
      </c>
      <c r="H9" t="s">
        <v>479</v>
      </c>
    </row>
    <row r="10" spans="1:8" x14ac:dyDescent="0.2">
      <c r="A10" t="s">
        <v>413</v>
      </c>
      <c r="B10" t="s">
        <v>412</v>
      </c>
      <c r="C10" t="s">
        <v>414</v>
      </c>
      <c r="D10" t="s">
        <v>475</v>
      </c>
      <c r="E10">
        <v>1</v>
      </c>
      <c r="F10" t="s">
        <v>1274</v>
      </c>
      <c r="G10" t="s">
        <v>138</v>
      </c>
      <c r="H10" t="s">
        <v>479</v>
      </c>
    </row>
    <row r="11" spans="1:8" x14ac:dyDescent="0.2">
      <c r="A11" t="s">
        <v>398</v>
      </c>
      <c r="B11" t="s">
        <v>397</v>
      </c>
      <c r="C11" t="s">
        <v>399</v>
      </c>
      <c r="D11" t="s">
        <v>470</v>
      </c>
      <c r="E11">
        <v>1</v>
      </c>
      <c r="F11" t="s">
        <v>1274</v>
      </c>
      <c r="G11" t="s">
        <v>138</v>
      </c>
      <c r="H11" t="s">
        <v>479</v>
      </c>
    </row>
    <row r="12" spans="1:8" x14ac:dyDescent="0.2">
      <c r="A12" t="s">
        <v>402</v>
      </c>
      <c r="B12" t="s">
        <v>401</v>
      </c>
      <c r="C12" t="s">
        <v>403</v>
      </c>
      <c r="D12" t="s">
        <v>471</v>
      </c>
      <c r="E12">
        <v>1</v>
      </c>
      <c r="F12" t="s">
        <v>1274</v>
      </c>
      <c r="G12" t="s">
        <v>138</v>
      </c>
      <c r="H12" t="s">
        <v>479</v>
      </c>
    </row>
    <row r="13" spans="1:8" x14ac:dyDescent="0.2">
      <c r="A13" t="s">
        <v>375</v>
      </c>
      <c r="B13" t="s">
        <v>374</v>
      </c>
      <c r="C13" t="s">
        <v>376</v>
      </c>
      <c r="D13" t="s">
        <v>466</v>
      </c>
      <c r="E13">
        <v>1</v>
      </c>
      <c r="F13" t="s">
        <v>1274</v>
      </c>
      <c r="G13" t="s">
        <v>138</v>
      </c>
      <c r="H13" t="s">
        <v>479</v>
      </c>
    </row>
    <row r="14" spans="1:8" x14ac:dyDescent="0.2">
      <c r="A14" t="s">
        <v>366</v>
      </c>
      <c r="B14" t="s">
        <v>365</v>
      </c>
      <c r="C14" t="s">
        <v>367</v>
      </c>
      <c r="D14" t="s">
        <v>463</v>
      </c>
      <c r="E14">
        <v>1</v>
      </c>
      <c r="F14" t="s">
        <v>1274</v>
      </c>
      <c r="G14" t="s">
        <v>138</v>
      </c>
      <c r="H14" t="s">
        <v>479</v>
      </c>
    </row>
    <row r="15" spans="1:8" x14ac:dyDescent="0.2">
      <c r="A15" t="s">
        <v>346</v>
      </c>
      <c r="B15" t="s">
        <v>9</v>
      </c>
      <c r="C15" t="s">
        <v>415</v>
      </c>
      <c r="D15" t="s">
        <v>476</v>
      </c>
      <c r="E15">
        <v>1</v>
      </c>
      <c r="F15" t="s">
        <v>1274</v>
      </c>
      <c r="G15" t="s">
        <v>138</v>
      </c>
      <c r="H15" t="s">
        <v>479</v>
      </c>
    </row>
    <row r="16" spans="1:8" x14ac:dyDescent="0.2">
      <c r="A16" t="s">
        <v>246</v>
      </c>
      <c r="B16" t="s">
        <v>9</v>
      </c>
      <c r="C16" t="s">
        <v>247</v>
      </c>
      <c r="D16" t="s">
        <v>421</v>
      </c>
      <c r="E16">
        <v>2</v>
      </c>
      <c r="F16" t="s">
        <v>1276</v>
      </c>
      <c r="G16" t="s">
        <v>138</v>
      </c>
      <c r="H16" t="s">
        <v>479</v>
      </c>
    </row>
    <row r="17" spans="1:8" x14ac:dyDescent="0.2">
      <c r="A17" t="s">
        <v>346</v>
      </c>
      <c r="B17" t="s">
        <v>9</v>
      </c>
      <c r="C17" t="s">
        <v>247</v>
      </c>
      <c r="D17" t="s">
        <v>421</v>
      </c>
      <c r="E17">
        <v>2</v>
      </c>
      <c r="F17" t="s">
        <v>1276</v>
      </c>
      <c r="G17" t="s">
        <v>138</v>
      </c>
      <c r="H17" t="s">
        <v>479</v>
      </c>
    </row>
    <row r="18" spans="1:8" x14ac:dyDescent="0.2">
      <c r="A18" t="s">
        <v>1267</v>
      </c>
      <c r="B18" t="s">
        <v>256</v>
      </c>
      <c r="C18" t="s">
        <v>160</v>
      </c>
      <c r="D18" t="s">
        <v>424</v>
      </c>
      <c r="E18">
        <v>2</v>
      </c>
      <c r="F18" t="s">
        <v>1276</v>
      </c>
      <c r="G18" t="s">
        <v>138</v>
      </c>
      <c r="H18" t="s">
        <v>479</v>
      </c>
    </row>
    <row r="19" spans="1:8" x14ac:dyDescent="0.2">
      <c r="A19" t="s">
        <v>327</v>
      </c>
      <c r="B19" t="s">
        <v>256</v>
      </c>
      <c r="C19" t="s">
        <v>160</v>
      </c>
      <c r="D19" t="s">
        <v>424</v>
      </c>
      <c r="E19">
        <v>2</v>
      </c>
      <c r="F19" t="s">
        <v>1276</v>
      </c>
      <c r="G19" t="s">
        <v>138</v>
      </c>
      <c r="H19" t="s">
        <v>479</v>
      </c>
    </row>
    <row r="20" spans="1:8" x14ac:dyDescent="0.2">
      <c r="A20" t="s">
        <v>1273</v>
      </c>
      <c r="B20" t="s">
        <v>380</v>
      </c>
      <c r="C20" t="s">
        <v>381</v>
      </c>
      <c r="E20">
        <v>1</v>
      </c>
      <c r="F20" t="s">
        <v>1274</v>
      </c>
      <c r="G20" t="s">
        <v>138</v>
      </c>
      <c r="H20" t="s">
        <v>479</v>
      </c>
    </row>
    <row r="21" spans="1:8" x14ac:dyDescent="0.2">
      <c r="A21" t="s">
        <v>394</v>
      </c>
      <c r="B21" t="s">
        <v>393</v>
      </c>
      <c r="C21" t="s">
        <v>395</v>
      </c>
      <c r="E21">
        <v>1</v>
      </c>
      <c r="F21" t="s">
        <v>1274</v>
      </c>
      <c r="G21" t="s">
        <v>138</v>
      </c>
      <c r="H21" t="s">
        <v>479</v>
      </c>
    </row>
    <row r="22" spans="1:8" x14ac:dyDescent="0.2">
      <c r="A22" t="s">
        <v>388</v>
      </c>
      <c r="B22" t="s">
        <v>387</v>
      </c>
      <c r="C22" t="s">
        <v>389</v>
      </c>
      <c r="E22">
        <v>1</v>
      </c>
      <c r="F22" t="s">
        <v>1274</v>
      </c>
      <c r="G22" t="s">
        <v>138</v>
      </c>
      <c r="H22" t="s">
        <v>479</v>
      </c>
    </row>
    <row r="23" spans="1:8" x14ac:dyDescent="0.2">
      <c r="A23" t="s">
        <v>369</v>
      </c>
      <c r="B23" t="s">
        <v>368</v>
      </c>
      <c r="C23" t="s">
        <v>370</v>
      </c>
      <c r="D23" t="s">
        <v>465</v>
      </c>
      <c r="E23">
        <v>1</v>
      </c>
      <c r="F23" t="s">
        <v>1274</v>
      </c>
      <c r="G23" t="s">
        <v>138</v>
      </c>
      <c r="H23" t="s">
        <v>479</v>
      </c>
    </row>
    <row r="24" spans="1:8" x14ac:dyDescent="0.2">
      <c r="A24" t="s">
        <v>354</v>
      </c>
      <c r="B24" t="s">
        <v>353</v>
      </c>
      <c r="C24" t="s">
        <v>355</v>
      </c>
      <c r="D24" t="s">
        <v>458</v>
      </c>
      <c r="E24">
        <v>1</v>
      </c>
      <c r="F24" t="s">
        <v>1274</v>
      </c>
      <c r="G24" t="s">
        <v>138</v>
      </c>
      <c r="H24" t="s">
        <v>479</v>
      </c>
    </row>
    <row r="25" spans="1:8" x14ac:dyDescent="0.2">
      <c r="A25" t="s">
        <v>322</v>
      </c>
      <c r="B25" t="s">
        <v>321</v>
      </c>
      <c r="C25" t="s">
        <v>323</v>
      </c>
      <c r="D25" t="s">
        <v>448</v>
      </c>
      <c r="E25">
        <v>2</v>
      </c>
      <c r="F25" t="s">
        <v>1276</v>
      </c>
      <c r="G25" t="s">
        <v>138</v>
      </c>
      <c r="H25" t="s">
        <v>479</v>
      </c>
    </row>
    <row r="26" spans="1:8" x14ac:dyDescent="0.2">
      <c r="A26" t="s">
        <v>322</v>
      </c>
      <c r="B26" t="s">
        <v>321</v>
      </c>
      <c r="C26" t="s">
        <v>323</v>
      </c>
      <c r="D26" t="s">
        <v>448</v>
      </c>
      <c r="E26">
        <v>2</v>
      </c>
      <c r="F26" t="s">
        <v>1276</v>
      </c>
      <c r="G26" t="s">
        <v>138</v>
      </c>
      <c r="H26" t="s">
        <v>479</v>
      </c>
    </row>
    <row r="27" spans="1:8" x14ac:dyDescent="0.2">
      <c r="A27" t="s">
        <v>407</v>
      </c>
      <c r="B27" t="s">
        <v>406</v>
      </c>
      <c r="C27" t="s">
        <v>408</v>
      </c>
      <c r="D27" t="s">
        <v>473</v>
      </c>
      <c r="E27">
        <v>1</v>
      </c>
      <c r="F27" t="s">
        <v>1274</v>
      </c>
      <c r="G27" t="s">
        <v>138</v>
      </c>
      <c r="H27" t="s">
        <v>479</v>
      </c>
    </row>
    <row r="28" spans="1:8" x14ac:dyDescent="0.2">
      <c r="A28" t="s">
        <v>332</v>
      </c>
      <c r="B28" t="s">
        <v>334</v>
      </c>
      <c r="C28" t="s">
        <v>335</v>
      </c>
      <c r="D28" t="s">
        <v>452</v>
      </c>
      <c r="E28">
        <v>1</v>
      </c>
      <c r="F28" t="s">
        <v>1274</v>
      </c>
      <c r="G28" t="s">
        <v>138</v>
      </c>
      <c r="H28" t="s">
        <v>479</v>
      </c>
    </row>
    <row r="29" spans="1:8" x14ac:dyDescent="0.2">
      <c r="A29" t="s">
        <v>282</v>
      </c>
      <c r="B29" t="s">
        <v>2</v>
      </c>
      <c r="C29" t="s">
        <v>65</v>
      </c>
      <c r="D29" t="s">
        <v>443</v>
      </c>
      <c r="E29">
        <v>2</v>
      </c>
      <c r="F29" t="s">
        <v>1276</v>
      </c>
      <c r="G29" t="s">
        <v>138</v>
      </c>
      <c r="H29" t="s">
        <v>479</v>
      </c>
    </row>
    <row r="30" spans="1:8" x14ac:dyDescent="0.2">
      <c r="A30" t="s">
        <v>282</v>
      </c>
      <c r="B30" t="s">
        <v>2</v>
      </c>
      <c r="C30" t="s">
        <v>65</v>
      </c>
      <c r="D30" t="s">
        <v>443</v>
      </c>
      <c r="E30">
        <v>2</v>
      </c>
      <c r="F30" t="s">
        <v>1276</v>
      </c>
      <c r="G30" t="s">
        <v>138</v>
      </c>
      <c r="H30" t="s">
        <v>479</v>
      </c>
    </row>
    <row r="31" spans="1:8" x14ac:dyDescent="0.2">
      <c r="A31" t="s">
        <v>282</v>
      </c>
      <c r="B31" t="s">
        <v>2</v>
      </c>
      <c r="C31" t="s">
        <v>66</v>
      </c>
      <c r="D31" t="s">
        <v>459</v>
      </c>
      <c r="E31">
        <v>1</v>
      </c>
      <c r="F31" t="s">
        <v>1274</v>
      </c>
      <c r="G31" t="s">
        <v>138</v>
      </c>
      <c r="H31" t="s">
        <v>479</v>
      </c>
    </row>
    <row r="32" spans="1:8" x14ac:dyDescent="0.2">
      <c r="A32" t="s">
        <v>282</v>
      </c>
      <c r="B32" t="s">
        <v>2</v>
      </c>
      <c r="C32" t="s">
        <v>66</v>
      </c>
      <c r="D32" t="s">
        <v>444</v>
      </c>
      <c r="E32">
        <v>1</v>
      </c>
      <c r="F32" t="s">
        <v>1274</v>
      </c>
      <c r="G32" t="s">
        <v>138</v>
      </c>
      <c r="H32" t="s">
        <v>479</v>
      </c>
    </row>
    <row r="33" spans="1:8" x14ac:dyDescent="0.2">
      <c r="A33" t="s">
        <v>372</v>
      </c>
      <c r="B33" t="s">
        <v>371</v>
      </c>
      <c r="C33" t="s">
        <v>373</v>
      </c>
      <c r="E33">
        <v>1</v>
      </c>
      <c r="F33" t="s">
        <v>1274</v>
      </c>
      <c r="G33" t="s">
        <v>138</v>
      </c>
      <c r="H33" t="s">
        <v>479</v>
      </c>
    </row>
    <row r="34" spans="1:8" x14ac:dyDescent="0.2">
      <c r="A34" t="s">
        <v>290</v>
      </c>
      <c r="B34" t="s">
        <v>289</v>
      </c>
      <c r="C34" t="s">
        <v>291</v>
      </c>
      <c r="E34">
        <v>5</v>
      </c>
      <c r="F34" t="s">
        <v>1277</v>
      </c>
      <c r="G34" t="s">
        <v>138</v>
      </c>
      <c r="H34" t="s">
        <v>479</v>
      </c>
    </row>
    <row r="35" spans="1:8" x14ac:dyDescent="0.2">
      <c r="A35" t="s">
        <v>290</v>
      </c>
      <c r="B35" t="s">
        <v>289</v>
      </c>
      <c r="C35" t="s">
        <v>291</v>
      </c>
      <c r="E35">
        <v>5</v>
      </c>
      <c r="F35" t="s">
        <v>1277</v>
      </c>
      <c r="G35" t="s">
        <v>138</v>
      </c>
      <c r="H35" t="s">
        <v>479</v>
      </c>
    </row>
    <row r="36" spans="1:8" x14ac:dyDescent="0.2">
      <c r="A36" t="s">
        <v>332</v>
      </c>
      <c r="B36" t="s">
        <v>289</v>
      </c>
      <c r="C36" t="s">
        <v>291</v>
      </c>
      <c r="E36">
        <v>5</v>
      </c>
      <c r="F36" t="s">
        <v>1277</v>
      </c>
      <c r="G36" t="s">
        <v>138</v>
      </c>
      <c r="H36" t="s">
        <v>479</v>
      </c>
    </row>
    <row r="37" spans="1:8" x14ac:dyDescent="0.2">
      <c r="A37" t="s">
        <v>290</v>
      </c>
      <c r="B37" t="s">
        <v>289</v>
      </c>
      <c r="C37" t="s">
        <v>291</v>
      </c>
      <c r="E37">
        <v>5</v>
      </c>
      <c r="F37" t="s">
        <v>1277</v>
      </c>
      <c r="G37" t="s">
        <v>138</v>
      </c>
      <c r="H37" t="s">
        <v>479</v>
      </c>
    </row>
    <row r="38" spans="1:8" x14ac:dyDescent="0.2">
      <c r="A38" t="s">
        <v>290</v>
      </c>
      <c r="B38" t="s">
        <v>289</v>
      </c>
      <c r="C38" t="s">
        <v>291</v>
      </c>
      <c r="E38">
        <v>5</v>
      </c>
      <c r="F38" t="s">
        <v>1277</v>
      </c>
      <c r="G38" t="s">
        <v>138</v>
      </c>
      <c r="H38" t="s">
        <v>479</v>
      </c>
    </row>
    <row r="39" spans="1:8" x14ac:dyDescent="0.2">
      <c r="A39" t="s">
        <v>290</v>
      </c>
      <c r="B39" t="s">
        <v>289</v>
      </c>
      <c r="C39" t="s">
        <v>292</v>
      </c>
      <c r="E39">
        <v>5</v>
      </c>
      <c r="F39" t="s">
        <v>1277</v>
      </c>
      <c r="G39" t="s">
        <v>138</v>
      </c>
      <c r="H39" t="s">
        <v>479</v>
      </c>
    </row>
    <row r="40" spans="1:8" x14ac:dyDescent="0.2">
      <c r="A40" t="s">
        <v>290</v>
      </c>
      <c r="B40" t="s">
        <v>289</v>
      </c>
      <c r="C40" t="s">
        <v>292</v>
      </c>
      <c r="E40">
        <v>5</v>
      </c>
      <c r="F40" t="s">
        <v>1277</v>
      </c>
      <c r="G40" t="s">
        <v>138</v>
      </c>
      <c r="H40" t="s">
        <v>479</v>
      </c>
    </row>
    <row r="41" spans="1:8" x14ac:dyDescent="0.2">
      <c r="A41" t="s">
        <v>332</v>
      </c>
      <c r="B41" t="s">
        <v>289</v>
      </c>
      <c r="C41" t="s">
        <v>292</v>
      </c>
      <c r="E41">
        <v>5</v>
      </c>
      <c r="F41" t="s">
        <v>1277</v>
      </c>
      <c r="G41" t="s">
        <v>138</v>
      </c>
      <c r="H41" t="s">
        <v>479</v>
      </c>
    </row>
    <row r="42" spans="1:8" x14ac:dyDescent="0.2">
      <c r="A42" t="s">
        <v>290</v>
      </c>
      <c r="B42" t="s">
        <v>289</v>
      </c>
      <c r="C42" t="s">
        <v>292</v>
      </c>
      <c r="E42">
        <v>5</v>
      </c>
      <c r="F42" t="s">
        <v>1277</v>
      </c>
      <c r="G42" t="s">
        <v>138</v>
      </c>
      <c r="H42" t="s">
        <v>479</v>
      </c>
    </row>
    <row r="43" spans="1:8" x14ac:dyDescent="0.2">
      <c r="A43" t="s">
        <v>290</v>
      </c>
      <c r="B43" t="s">
        <v>289</v>
      </c>
      <c r="C43" t="s">
        <v>292</v>
      </c>
      <c r="E43">
        <v>5</v>
      </c>
      <c r="F43" t="s">
        <v>1277</v>
      </c>
      <c r="G43" t="s">
        <v>138</v>
      </c>
      <c r="H43" t="s">
        <v>479</v>
      </c>
    </row>
    <row r="44" spans="1:8" x14ac:dyDescent="0.2">
      <c r="A44" t="s">
        <v>290</v>
      </c>
      <c r="B44" t="s">
        <v>289</v>
      </c>
      <c r="C44" t="s">
        <v>293</v>
      </c>
      <c r="E44">
        <v>5</v>
      </c>
      <c r="F44" t="s">
        <v>1277</v>
      </c>
      <c r="G44" t="s">
        <v>138</v>
      </c>
      <c r="H44" t="s">
        <v>479</v>
      </c>
    </row>
    <row r="45" spans="1:8" x14ac:dyDescent="0.2">
      <c r="A45" t="s">
        <v>290</v>
      </c>
      <c r="B45" t="s">
        <v>289</v>
      </c>
      <c r="C45" t="s">
        <v>293</v>
      </c>
      <c r="E45">
        <v>5</v>
      </c>
      <c r="F45" t="s">
        <v>1277</v>
      </c>
      <c r="G45" t="s">
        <v>138</v>
      </c>
      <c r="H45" t="s">
        <v>479</v>
      </c>
    </row>
    <row r="46" spans="1:8" x14ac:dyDescent="0.2">
      <c r="A46" t="s">
        <v>332</v>
      </c>
      <c r="B46" t="s">
        <v>289</v>
      </c>
      <c r="C46" t="s">
        <v>293</v>
      </c>
      <c r="E46">
        <v>5</v>
      </c>
      <c r="F46" t="s">
        <v>1277</v>
      </c>
      <c r="G46" t="s">
        <v>138</v>
      </c>
      <c r="H46" t="s">
        <v>479</v>
      </c>
    </row>
    <row r="47" spans="1:8" x14ac:dyDescent="0.2">
      <c r="A47" t="s">
        <v>290</v>
      </c>
      <c r="B47" t="s">
        <v>289</v>
      </c>
      <c r="C47" t="s">
        <v>293</v>
      </c>
      <c r="E47">
        <v>5</v>
      </c>
      <c r="F47" t="s">
        <v>1277</v>
      </c>
      <c r="G47" t="s">
        <v>138</v>
      </c>
      <c r="H47" t="s">
        <v>479</v>
      </c>
    </row>
    <row r="48" spans="1:8" x14ac:dyDescent="0.2">
      <c r="A48" t="s">
        <v>290</v>
      </c>
      <c r="B48" t="s">
        <v>289</v>
      </c>
      <c r="C48" t="s">
        <v>293</v>
      </c>
      <c r="E48">
        <v>5</v>
      </c>
      <c r="F48" t="s">
        <v>1277</v>
      </c>
      <c r="G48" t="s">
        <v>138</v>
      </c>
      <c r="H48" t="s">
        <v>479</v>
      </c>
    </row>
    <row r="49" spans="1:8" x14ac:dyDescent="0.2">
      <c r="A49" t="s">
        <v>290</v>
      </c>
      <c r="B49" t="s">
        <v>289</v>
      </c>
      <c r="C49" t="s">
        <v>320</v>
      </c>
      <c r="D49" t="s">
        <v>447</v>
      </c>
      <c r="E49">
        <v>2</v>
      </c>
      <c r="F49" t="s">
        <v>1276</v>
      </c>
      <c r="G49" t="s">
        <v>138</v>
      </c>
      <c r="H49" t="s">
        <v>479</v>
      </c>
    </row>
    <row r="50" spans="1:8" x14ac:dyDescent="0.2">
      <c r="A50" t="s">
        <v>396</v>
      </c>
      <c r="B50" t="s">
        <v>289</v>
      </c>
      <c r="C50" t="s">
        <v>320</v>
      </c>
      <c r="D50" t="s">
        <v>447</v>
      </c>
      <c r="E50">
        <v>2</v>
      </c>
      <c r="F50" t="s">
        <v>1276</v>
      </c>
      <c r="G50" t="s">
        <v>138</v>
      </c>
      <c r="H50" t="s">
        <v>479</v>
      </c>
    </row>
    <row r="51" spans="1:8" x14ac:dyDescent="0.2">
      <c r="A51" t="s">
        <v>290</v>
      </c>
      <c r="B51" t="s">
        <v>289</v>
      </c>
      <c r="C51" t="s">
        <v>294</v>
      </c>
      <c r="D51" t="s">
        <v>434</v>
      </c>
      <c r="E51">
        <v>4</v>
      </c>
      <c r="F51" t="s">
        <v>1278</v>
      </c>
      <c r="G51" t="s">
        <v>138</v>
      </c>
      <c r="H51" t="s">
        <v>479</v>
      </c>
    </row>
    <row r="52" spans="1:8" x14ac:dyDescent="0.2">
      <c r="A52" t="s">
        <v>290</v>
      </c>
      <c r="B52" t="s">
        <v>289</v>
      </c>
      <c r="C52" t="s">
        <v>294</v>
      </c>
      <c r="D52" t="s">
        <v>434</v>
      </c>
      <c r="E52">
        <v>4</v>
      </c>
      <c r="F52" t="s">
        <v>1278</v>
      </c>
      <c r="G52" t="s">
        <v>138</v>
      </c>
      <c r="H52" t="s">
        <v>479</v>
      </c>
    </row>
    <row r="53" spans="1:8" x14ac:dyDescent="0.2">
      <c r="A53" t="s">
        <v>332</v>
      </c>
      <c r="B53" t="s">
        <v>289</v>
      </c>
      <c r="C53" t="s">
        <v>294</v>
      </c>
      <c r="D53" t="s">
        <v>434</v>
      </c>
      <c r="E53">
        <v>4</v>
      </c>
      <c r="F53" t="s">
        <v>1278</v>
      </c>
      <c r="G53" t="s">
        <v>138</v>
      </c>
      <c r="H53" t="s">
        <v>479</v>
      </c>
    </row>
    <row r="54" spans="1:8" x14ac:dyDescent="0.2">
      <c r="A54" t="s">
        <v>290</v>
      </c>
      <c r="B54" t="s">
        <v>289</v>
      </c>
      <c r="C54" t="s">
        <v>294</v>
      </c>
      <c r="D54" t="s">
        <v>434</v>
      </c>
      <c r="E54">
        <v>4</v>
      </c>
      <c r="F54" t="s">
        <v>1278</v>
      </c>
      <c r="G54" t="s">
        <v>138</v>
      </c>
      <c r="H54" t="s">
        <v>479</v>
      </c>
    </row>
    <row r="55" spans="1:8" x14ac:dyDescent="0.2">
      <c r="A55" t="s">
        <v>290</v>
      </c>
      <c r="B55" t="s">
        <v>289</v>
      </c>
      <c r="C55" t="s">
        <v>294</v>
      </c>
      <c r="D55" t="s">
        <v>464</v>
      </c>
      <c r="E55">
        <v>1</v>
      </c>
      <c r="F55" t="s">
        <v>1274</v>
      </c>
      <c r="G55" t="s">
        <v>138</v>
      </c>
      <c r="H55" t="s">
        <v>479</v>
      </c>
    </row>
    <row r="56" spans="1:8" x14ac:dyDescent="0.2">
      <c r="A56" t="s">
        <v>416</v>
      </c>
      <c r="B56" t="s">
        <v>169</v>
      </c>
      <c r="C56" t="s">
        <v>183</v>
      </c>
      <c r="D56" t="s">
        <v>184</v>
      </c>
      <c r="E56">
        <v>1</v>
      </c>
      <c r="F56" t="s">
        <v>1274</v>
      </c>
      <c r="G56" t="s">
        <v>138</v>
      </c>
      <c r="H56" t="s">
        <v>479</v>
      </c>
    </row>
    <row r="57" spans="1:8" x14ac:dyDescent="0.2">
      <c r="A57" t="s">
        <v>314</v>
      </c>
      <c r="B57" t="s">
        <v>313</v>
      </c>
      <c r="C57" t="s">
        <v>315</v>
      </c>
      <c r="D57" t="s">
        <v>446</v>
      </c>
      <c r="E57">
        <v>1</v>
      </c>
      <c r="F57" t="s">
        <v>1274</v>
      </c>
      <c r="G57" t="s">
        <v>138</v>
      </c>
      <c r="H57" t="s">
        <v>479</v>
      </c>
    </row>
    <row r="58" spans="1:8" x14ac:dyDescent="0.2">
      <c r="A58" t="s">
        <v>341</v>
      </c>
      <c r="B58" t="s">
        <v>340</v>
      </c>
      <c r="C58" t="s">
        <v>342</v>
      </c>
      <c r="D58" t="s">
        <v>455</v>
      </c>
      <c r="E58">
        <v>1</v>
      </c>
      <c r="F58" t="s">
        <v>1274</v>
      </c>
      <c r="G58" t="s">
        <v>138</v>
      </c>
      <c r="H58" t="s">
        <v>479</v>
      </c>
    </row>
    <row r="59" spans="1:8" x14ac:dyDescent="0.2">
      <c r="A59" t="s">
        <v>249</v>
      </c>
      <c r="B59" t="s">
        <v>248</v>
      </c>
      <c r="C59" t="s">
        <v>250</v>
      </c>
      <c r="D59" t="s">
        <v>422</v>
      </c>
      <c r="E59">
        <v>1</v>
      </c>
      <c r="F59" t="s">
        <v>1274</v>
      </c>
      <c r="G59" t="s">
        <v>138</v>
      </c>
      <c r="H59" t="s">
        <v>479</v>
      </c>
    </row>
    <row r="60" spans="1:8" x14ac:dyDescent="0.2">
      <c r="A60" t="s">
        <v>244</v>
      </c>
      <c r="B60" t="s">
        <v>243</v>
      </c>
      <c r="C60" t="s">
        <v>270</v>
      </c>
      <c r="D60" t="s">
        <v>429</v>
      </c>
      <c r="E60">
        <v>11</v>
      </c>
      <c r="F60" t="s">
        <v>1279</v>
      </c>
      <c r="G60" t="s">
        <v>138</v>
      </c>
      <c r="H60" t="s">
        <v>479</v>
      </c>
    </row>
    <row r="61" spans="1:8" x14ac:dyDescent="0.2">
      <c r="A61" t="s">
        <v>244</v>
      </c>
      <c r="B61" t="s">
        <v>243</v>
      </c>
      <c r="C61" t="s">
        <v>270</v>
      </c>
      <c r="D61" t="s">
        <v>429</v>
      </c>
      <c r="E61">
        <v>11</v>
      </c>
      <c r="F61" t="s">
        <v>1279</v>
      </c>
      <c r="G61" t="s">
        <v>138</v>
      </c>
      <c r="H61" t="s">
        <v>479</v>
      </c>
    </row>
    <row r="62" spans="1:8" x14ac:dyDescent="0.2">
      <c r="A62" t="s">
        <v>244</v>
      </c>
      <c r="B62" t="s">
        <v>243</v>
      </c>
      <c r="C62" t="s">
        <v>270</v>
      </c>
      <c r="D62" t="s">
        <v>429</v>
      </c>
      <c r="E62">
        <v>11</v>
      </c>
      <c r="F62" t="s">
        <v>1279</v>
      </c>
      <c r="G62" t="s">
        <v>138</v>
      </c>
      <c r="H62" t="s">
        <v>479</v>
      </c>
    </row>
    <row r="63" spans="1:8" x14ac:dyDescent="0.2">
      <c r="A63" t="s">
        <v>244</v>
      </c>
      <c r="B63" t="s">
        <v>243</v>
      </c>
      <c r="C63" t="s">
        <v>270</v>
      </c>
      <c r="D63" t="s">
        <v>429</v>
      </c>
      <c r="E63">
        <v>11</v>
      </c>
      <c r="F63" t="s">
        <v>1279</v>
      </c>
      <c r="G63" t="s">
        <v>138</v>
      </c>
      <c r="H63" t="s">
        <v>479</v>
      </c>
    </row>
    <row r="64" spans="1:8" x14ac:dyDescent="0.2">
      <c r="A64" t="s">
        <v>244</v>
      </c>
      <c r="B64" t="s">
        <v>243</v>
      </c>
      <c r="C64" t="s">
        <v>270</v>
      </c>
      <c r="D64" t="s">
        <v>429</v>
      </c>
      <c r="E64">
        <v>11</v>
      </c>
      <c r="F64" t="s">
        <v>1279</v>
      </c>
      <c r="G64" t="s">
        <v>138</v>
      </c>
      <c r="H64" t="s">
        <v>479</v>
      </c>
    </row>
    <row r="65" spans="1:8" x14ac:dyDescent="0.2">
      <c r="A65" t="s">
        <v>244</v>
      </c>
      <c r="B65" t="s">
        <v>243</v>
      </c>
      <c r="C65" t="s">
        <v>270</v>
      </c>
      <c r="D65" t="s">
        <v>429</v>
      </c>
      <c r="E65">
        <v>11</v>
      </c>
      <c r="F65" t="s">
        <v>1279</v>
      </c>
      <c r="G65" t="s">
        <v>138</v>
      </c>
      <c r="H65" t="s">
        <v>479</v>
      </c>
    </row>
    <row r="66" spans="1:8" x14ac:dyDescent="0.2">
      <c r="A66" t="s">
        <v>244</v>
      </c>
      <c r="B66" t="s">
        <v>243</v>
      </c>
      <c r="C66" t="s">
        <v>270</v>
      </c>
      <c r="D66" t="s">
        <v>429</v>
      </c>
      <c r="E66">
        <v>11</v>
      </c>
      <c r="F66" t="s">
        <v>1279</v>
      </c>
      <c r="G66" t="s">
        <v>138</v>
      </c>
      <c r="H66" t="s">
        <v>479</v>
      </c>
    </row>
    <row r="67" spans="1:8" x14ac:dyDescent="0.2">
      <c r="A67" t="s">
        <v>244</v>
      </c>
      <c r="B67" t="s">
        <v>243</v>
      </c>
      <c r="C67" t="s">
        <v>270</v>
      </c>
      <c r="D67" t="s">
        <v>429</v>
      </c>
      <c r="E67">
        <v>11</v>
      </c>
      <c r="F67" t="s">
        <v>1279</v>
      </c>
      <c r="G67" t="s">
        <v>138</v>
      </c>
      <c r="H67" t="s">
        <v>479</v>
      </c>
    </row>
    <row r="68" spans="1:8" x14ac:dyDescent="0.2">
      <c r="A68" t="s">
        <v>1270</v>
      </c>
      <c r="B68" t="s">
        <v>243</v>
      </c>
      <c r="C68" t="s">
        <v>270</v>
      </c>
      <c r="D68" t="s">
        <v>429</v>
      </c>
      <c r="E68">
        <v>11</v>
      </c>
      <c r="F68" t="s">
        <v>1279</v>
      </c>
      <c r="G68" t="s">
        <v>138</v>
      </c>
      <c r="H68" t="s">
        <v>479</v>
      </c>
    </row>
    <row r="69" spans="1:8" x14ac:dyDescent="0.2">
      <c r="A69" t="s">
        <v>244</v>
      </c>
      <c r="B69" t="s">
        <v>243</v>
      </c>
      <c r="C69" t="s">
        <v>270</v>
      </c>
      <c r="D69" t="s">
        <v>429</v>
      </c>
      <c r="E69">
        <v>11</v>
      </c>
      <c r="F69" t="s">
        <v>1279</v>
      </c>
      <c r="G69" t="s">
        <v>138</v>
      </c>
      <c r="H69" t="s">
        <v>479</v>
      </c>
    </row>
    <row r="70" spans="1:8" x14ac:dyDescent="0.2">
      <c r="A70" t="s">
        <v>244</v>
      </c>
      <c r="B70" t="s">
        <v>243</v>
      </c>
      <c r="C70" t="s">
        <v>270</v>
      </c>
      <c r="D70" t="s">
        <v>429</v>
      </c>
      <c r="E70">
        <v>11</v>
      </c>
      <c r="F70" t="s">
        <v>1279</v>
      </c>
      <c r="G70" t="s">
        <v>138</v>
      </c>
      <c r="H70" t="s">
        <v>479</v>
      </c>
    </row>
    <row r="71" spans="1:8" x14ac:dyDescent="0.2">
      <c r="A71" t="s">
        <v>244</v>
      </c>
      <c r="B71" t="s">
        <v>243</v>
      </c>
      <c r="C71" t="s">
        <v>245</v>
      </c>
      <c r="D71" t="s">
        <v>420</v>
      </c>
      <c r="E71">
        <v>4</v>
      </c>
      <c r="F71" t="s">
        <v>1278</v>
      </c>
      <c r="G71" t="s">
        <v>138</v>
      </c>
      <c r="H71" t="s">
        <v>479</v>
      </c>
    </row>
    <row r="72" spans="1:8" x14ac:dyDescent="0.2">
      <c r="A72" t="s">
        <v>244</v>
      </c>
      <c r="B72" t="s">
        <v>243</v>
      </c>
      <c r="C72" t="s">
        <v>245</v>
      </c>
      <c r="D72" t="s">
        <v>420</v>
      </c>
      <c r="E72">
        <v>4</v>
      </c>
      <c r="F72" t="s">
        <v>1278</v>
      </c>
      <c r="G72" t="s">
        <v>138</v>
      </c>
      <c r="H72" t="s">
        <v>479</v>
      </c>
    </row>
    <row r="73" spans="1:8" x14ac:dyDescent="0.2">
      <c r="A73" t="s">
        <v>332</v>
      </c>
      <c r="B73" t="s">
        <v>243</v>
      </c>
      <c r="C73" t="s">
        <v>245</v>
      </c>
      <c r="D73" t="s">
        <v>420</v>
      </c>
      <c r="E73">
        <v>4</v>
      </c>
      <c r="F73" t="s">
        <v>1278</v>
      </c>
      <c r="G73" t="s">
        <v>138</v>
      </c>
      <c r="H73" t="s">
        <v>479</v>
      </c>
    </row>
    <row r="74" spans="1:8" x14ac:dyDescent="0.2">
      <c r="A74" t="s">
        <v>244</v>
      </c>
      <c r="B74" t="s">
        <v>243</v>
      </c>
      <c r="C74" t="s">
        <v>245</v>
      </c>
      <c r="D74" t="s">
        <v>420</v>
      </c>
      <c r="E74">
        <v>4</v>
      </c>
      <c r="F74" t="s">
        <v>1278</v>
      </c>
      <c r="G74" t="s">
        <v>138</v>
      </c>
      <c r="H74" t="s">
        <v>479</v>
      </c>
    </row>
    <row r="75" spans="1:8" x14ac:dyDescent="0.2">
      <c r="A75" t="s">
        <v>1269</v>
      </c>
      <c r="B75" t="s">
        <v>262</v>
      </c>
      <c r="C75" t="s">
        <v>263</v>
      </c>
      <c r="D75" t="s">
        <v>428</v>
      </c>
      <c r="E75">
        <v>1</v>
      </c>
      <c r="F75" t="s">
        <v>1274</v>
      </c>
      <c r="G75" t="s">
        <v>138</v>
      </c>
      <c r="H75" t="s">
        <v>479</v>
      </c>
    </row>
    <row r="76" spans="1:8" x14ac:dyDescent="0.2">
      <c r="A76" t="s">
        <v>287</v>
      </c>
      <c r="B76" t="s">
        <v>286</v>
      </c>
      <c r="C76" t="s">
        <v>288</v>
      </c>
      <c r="D76" t="s">
        <v>433</v>
      </c>
      <c r="E76">
        <v>1</v>
      </c>
      <c r="F76" t="s">
        <v>1274</v>
      </c>
      <c r="G76" t="s">
        <v>138</v>
      </c>
      <c r="H76" t="s">
        <v>479</v>
      </c>
    </row>
    <row r="77" spans="1:8" x14ac:dyDescent="0.2">
      <c r="A77" t="s">
        <v>338</v>
      </c>
      <c r="B77" t="s">
        <v>286</v>
      </c>
      <c r="C77" t="s">
        <v>339</v>
      </c>
      <c r="D77" t="s">
        <v>454</v>
      </c>
      <c r="E77">
        <v>1</v>
      </c>
      <c r="F77" t="s">
        <v>1274</v>
      </c>
      <c r="G77" t="s">
        <v>138</v>
      </c>
      <c r="H77" t="s">
        <v>479</v>
      </c>
    </row>
    <row r="78" spans="1:8" x14ac:dyDescent="0.2">
      <c r="A78" t="s">
        <v>332</v>
      </c>
      <c r="B78" t="s">
        <v>331</v>
      </c>
      <c r="C78" t="s">
        <v>333</v>
      </c>
      <c r="D78" t="s">
        <v>451</v>
      </c>
      <c r="E78">
        <v>1</v>
      </c>
      <c r="F78" t="s">
        <v>1274</v>
      </c>
      <c r="G78" t="s">
        <v>138</v>
      </c>
      <c r="H78" t="s">
        <v>479</v>
      </c>
    </row>
    <row r="79" spans="1:8" x14ac:dyDescent="0.2">
      <c r="A79" t="s">
        <v>299</v>
      </c>
      <c r="B79" t="s">
        <v>298</v>
      </c>
      <c r="C79" t="s">
        <v>300</v>
      </c>
      <c r="D79" t="s">
        <v>436</v>
      </c>
      <c r="E79">
        <v>1</v>
      </c>
      <c r="F79" t="s">
        <v>1274</v>
      </c>
      <c r="G79" t="s">
        <v>138</v>
      </c>
      <c r="H79" t="s">
        <v>479</v>
      </c>
    </row>
    <row r="80" spans="1:8" x14ac:dyDescent="0.2">
      <c r="A80" t="s">
        <v>378</v>
      </c>
      <c r="B80" t="s">
        <v>377</v>
      </c>
      <c r="C80" t="s">
        <v>379</v>
      </c>
      <c r="D80" t="s">
        <v>467</v>
      </c>
      <c r="E80">
        <v>1</v>
      </c>
      <c r="F80" t="s">
        <v>1274</v>
      </c>
      <c r="G80" t="s">
        <v>138</v>
      </c>
      <c r="H80" t="s">
        <v>479</v>
      </c>
    </row>
    <row r="81" spans="1:8" x14ac:dyDescent="0.2">
      <c r="A81" t="s">
        <v>1272</v>
      </c>
      <c r="B81" t="s">
        <v>382</v>
      </c>
      <c r="C81" t="s">
        <v>383</v>
      </c>
      <c r="E81">
        <v>1</v>
      </c>
      <c r="F81" t="s">
        <v>1274</v>
      </c>
      <c r="G81" t="s">
        <v>138</v>
      </c>
      <c r="H81" t="s">
        <v>479</v>
      </c>
    </row>
    <row r="82" spans="1:8" x14ac:dyDescent="0.2">
      <c r="A82" t="s">
        <v>318</v>
      </c>
      <c r="B82" t="s">
        <v>317</v>
      </c>
      <c r="C82" t="s">
        <v>319</v>
      </c>
      <c r="D82" t="s">
        <v>440</v>
      </c>
      <c r="E82">
        <v>1</v>
      </c>
      <c r="F82" t="s">
        <v>1274</v>
      </c>
      <c r="G82" t="s">
        <v>138</v>
      </c>
      <c r="H82" t="s">
        <v>479</v>
      </c>
    </row>
    <row r="83" spans="1:8" x14ac:dyDescent="0.2">
      <c r="A83" t="s">
        <v>325</v>
      </c>
      <c r="B83" t="s">
        <v>324</v>
      </c>
      <c r="C83" t="s">
        <v>326</v>
      </c>
      <c r="D83" t="s">
        <v>449</v>
      </c>
      <c r="E83">
        <v>1</v>
      </c>
      <c r="F83" t="s">
        <v>1274</v>
      </c>
      <c r="G83" t="s">
        <v>138</v>
      </c>
      <c r="H83" t="s">
        <v>479</v>
      </c>
    </row>
    <row r="84" spans="1:8" x14ac:dyDescent="0.2">
      <c r="A84" t="s">
        <v>410</v>
      </c>
      <c r="B84" t="s">
        <v>409</v>
      </c>
      <c r="C84" t="s">
        <v>411</v>
      </c>
      <c r="D84" t="s">
        <v>474</v>
      </c>
      <c r="E84">
        <v>1</v>
      </c>
      <c r="F84" t="s">
        <v>1274</v>
      </c>
      <c r="G84" t="s">
        <v>138</v>
      </c>
      <c r="H84" t="s">
        <v>479</v>
      </c>
    </row>
    <row r="85" spans="1:8" x14ac:dyDescent="0.2">
      <c r="A85" t="s">
        <v>418</v>
      </c>
      <c r="B85" t="s">
        <v>417</v>
      </c>
      <c r="C85" t="s">
        <v>419</v>
      </c>
      <c r="D85" t="s">
        <v>477</v>
      </c>
      <c r="E85">
        <v>1</v>
      </c>
      <c r="F85" t="s">
        <v>1274</v>
      </c>
      <c r="G85" t="s">
        <v>138</v>
      </c>
      <c r="H85" t="s">
        <v>479</v>
      </c>
    </row>
    <row r="86" spans="1:8" x14ac:dyDescent="0.2">
      <c r="A86" t="s">
        <v>332</v>
      </c>
      <c r="B86" t="s">
        <v>336</v>
      </c>
      <c r="C86" t="s">
        <v>337</v>
      </c>
      <c r="D86" t="s">
        <v>453</v>
      </c>
      <c r="E86">
        <v>1</v>
      </c>
      <c r="F86" t="s">
        <v>1274</v>
      </c>
      <c r="G86" t="s">
        <v>138</v>
      </c>
      <c r="H86" t="s">
        <v>479</v>
      </c>
    </row>
    <row r="87" spans="1:8" x14ac:dyDescent="0.2">
      <c r="A87" t="s">
        <v>308</v>
      </c>
      <c r="B87" t="s">
        <v>307</v>
      </c>
      <c r="C87" t="s">
        <v>309</v>
      </c>
      <c r="D87" t="s">
        <v>438</v>
      </c>
      <c r="E87">
        <v>1</v>
      </c>
      <c r="F87" t="s">
        <v>1274</v>
      </c>
      <c r="G87" t="s">
        <v>138</v>
      </c>
      <c r="H87" t="s">
        <v>479</v>
      </c>
    </row>
    <row r="88" spans="1:8" x14ac:dyDescent="0.2">
      <c r="A88" t="s">
        <v>360</v>
      </c>
      <c r="B88" t="s">
        <v>359</v>
      </c>
      <c r="C88" t="s">
        <v>361</v>
      </c>
      <c r="D88" t="s">
        <v>461</v>
      </c>
      <c r="E88">
        <v>1</v>
      </c>
      <c r="F88" t="s">
        <v>1274</v>
      </c>
      <c r="G88" t="s">
        <v>138</v>
      </c>
      <c r="H88" t="s">
        <v>479</v>
      </c>
    </row>
    <row r="89" spans="1:8" x14ac:dyDescent="0.2">
      <c r="A89" t="s">
        <v>311</v>
      </c>
      <c r="B89" t="s">
        <v>310</v>
      </c>
      <c r="C89" t="s">
        <v>312</v>
      </c>
      <c r="D89" t="s">
        <v>439</v>
      </c>
      <c r="E89">
        <v>1</v>
      </c>
      <c r="F89" t="s">
        <v>1274</v>
      </c>
      <c r="G89" t="s">
        <v>138</v>
      </c>
      <c r="H89" t="s">
        <v>479</v>
      </c>
    </row>
    <row r="90" spans="1:8" x14ac:dyDescent="0.2">
      <c r="A90" t="s">
        <v>363</v>
      </c>
      <c r="B90" t="s">
        <v>362</v>
      </c>
      <c r="C90" t="s">
        <v>364</v>
      </c>
      <c r="D90" t="s">
        <v>462</v>
      </c>
      <c r="E90">
        <v>1</v>
      </c>
      <c r="F90" t="s">
        <v>1274</v>
      </c>
      <c r="G90" t="s">
        <v>138</v>
      </c>
      <c r="H90" t="s">
        <v>479</v>
      </c>
    </row>
    <row r="91" spans="1:8" x14ac:dyDescent="0.2">
      <c r="A91" t="s">
        <v>348</v>
      </c>
      <c r="B91" t="s">
        <v>347</v>
      </c>
      <c r="C91" t="s">
        <v>349</v>
      </c>
      <c r="D91" t="s">
        <v>456</v>
      </c>
      <c r="E91">
        <v>1</v>
      </c>
      <c r="F91" t="s">
        <v>1274</v>
      </c>
      <c r="G91" t="s">
        <v>138</v>
      </c>
      <c r="H91" t="s">
        <v>479</v>
      </c>
    </row>
    <row r="92" spans="1:8" x14ac:dyDescent="0.2">
      <c r="A92" t="s">
        <v>267</v>
      </c>
      <c r="B92" t="s">
        <v>266</v>
      </c>
      <c r="C92" t="s">
        <v>269</v>
      </c>
      <c r="D92" t="s">
        <v>463</v>
      </c>
      <c r="E92">
        <v>5</v>
      </c>
      <c r="F92" t="s">
        <v>1277</v>
      </c>
      <c r="G92" t="s">
        <v>138</v>
      </c>
      <c r="H92" t="s">
        <v>479</v>
      </c>
    </row>
    <row r="93" spans="1:8" x14ac:dyDescent="0.2">
      <c r="A93" t="s">
        <v>316</v>
      </c>
      <c r="B93" t="s">
        <v>266</v>
      </c>
      <c r="C93" t="s">
        <v>269</v>
      </c>
      <c r="D93" t="s">
        <v>463</v>
      </c>
      <c r="E93">
        <v>5</v>
      </c>
      <c r="F93" t="s">
        <v>1277</v>
      </c>
      <c r="G93" t="s">
        <v>138</v>
      </c>
      <c r="H93" t="s">
        <v>479</v>
      </c>
    </row>
    <row r="94" spans="1:8" x14ac:dyDescent="0.2">
      <c r="A94" t="s">
        <v>345</v>
      </c>
      <c r="B94" t="s">
        <v>266</v>
      </c>
      <c r="C94" t="s">
        <v>269</v>
      </c>
      <c r="D94" t="s">
        <v>463</v>
      </c>
      <c r="E94">
        <v>5</v>
      </c>
      <c r="F94" t="s">
        <v>1277</v>
      </c>
      <c r="G94" t="s">
        <v>138</v>
      </c>
      <c r="H94" t="s">
        <v>479</v>
      </c>
    </row>
    <row r="95" spans="1:8" x14ac:dyDescent="0.2">
      <c r="A95" t="s">
        <v>404</v>
      </c>
      <c r="B95" t="s">
        <v>266</v>
      </c>
      <c r="C95" t="s">
        <v>269</v>
      </c>
      <c r="D95" t="s">
        <v>463</v>
      </c>
      <c r="E95">
        <v>5</v>
      </c>
      <c r="F95" t="s">
        <v>1277</v>
      </c>
      <c r="G95" t="s">
        <v>138</v>
      </c>
      <c r="H95" t="s">
        <v>479</v>
      </c>
    </row>
    <row r="96" spans="1:8" x14ac:dyDescent="0.2">
      <c r="A96" t="s">
        <v>404</v>
      </c>
      <c r="B96" t="s">
        <v>266</v>
      </c>
      <c r="C96" t="s">
        <v>269</v>
      </c>
      <c r="D96" t="s">
        <v>463</v>
      </c>
      <c r="E96">
        <v>5</v>
      </c>
      <c r="F96" t="s">
        <v>1277</v>
      </c>
      <c r="G96" t="s">
        <v>138</v>
      </c>
      <c r="H96" t="s">
        <v>479</v>
      </c>
    </row>
    <row r="97" spans="1:8" x14ac:dyDescent="0.2">
      <c r="A97" t="s">
        <v>267</v>
      </c>
      <c r="B97" t="s">
        <v>266</v>
      </c>
      <c r="C97" t="s">
        <v>268</v>
      </c>
      <c r="E97">
        <v>5</v>
      </c>
      <c r="F97" t="s">
        <v>1277</v>
      </c>
      <c r="G97" t="s">
        <v>138</v>
      </c>
      <c r="H97" t="s">
        <v>479</v>
      </c>
    </row>
    <row r="98" spans="1:8" x14ac:dyDescent="0.2">
      <c r="A98" t="s">
        <v>316</v>
      </c>
      <c r="B98" t="s">
        <v>266</v>
      </c>
      <c r="C98" t="s">
        <v>268</v>
      </c>
      <c r="E98">
        <v>5</v>
      </c>
      <c r="F98" t="s">
        <v>1277</v>
      </c>
      <c r="G98" t="s">
        <v>138</v>
      </c>
      <c r="H98" t="s">
        <v>479</v>
      </c>
    </row>
    <row r="99" spans="1:8" x14ac:dyDescent="0.2">
      <c r="A99" t="s">
        <v>345</v>
      </c>
      <c r="B99" t="s">
        <v>266</v>
      </c>
      <c r="C99" t="s">
        <v>268</v>
      </c>
      <c r="E99">
        <v>5</v>
      </c>
      <c r="F99" t="s">
        <v>1277</v>
      </c>
      <c r="G99" t="s">
        <v>138</v>
      </c>
      <c r="H99" t="s">
        <v>479</v>
      </c>
    </row>
    <row r="100" spans="1:8" x14ac:dyDescent="0.2">
      <c r="A100" t="s">
        <v>404</v>
      </c>
      <c r="B100" t="s">
        <v>266</v>
      </c>
      <c r="C100" t="s">
        <v>268</v>
      </c>
      <c r="E100">
        <v>5</v>
      </c>
      <c r="F100" t="s">
        <v>1277</v>
      </c>
      <c r="G100" t="s">
        <v>138</v>
      </c>
      <c r="H100" t="s">
        <v>479</v>
      </c>
    </row>
    <row r="101" spans="1:8" x14ac:dyDescent="0.2">
      <c r="A101" t="s">
        <v>404</v>
      </c>
      <c r="B101" t="s">
        <v>266</v>
      </c>
      <c r="C101" t="s">
        <v>268</v>
      </c>
      <c r="E101">
        <v>5</v>
      </c>
      <c r="F101" t="s">
        <v>1277</v>
      </c>
      <c r="G101" t="s">
        <v>138</v>
      </c>
      <c r="H101" t="s">
        <v>479</v>
      </c>
    </row>
    <row r="102" spans="1:8" x14ac:dyDescent="0.2">
      <c r="A102" t="s">
        <v>1280</v>
      </c>
      <c r="B102" t="s">
        <v>264</v>
      </c>
      <c r="C102" t="s">
        <v>265</v>
      </c>
      <c r="D102" t="s">
        <v>441</v>
      </c>
      <c r="E102">
        <v>1</v>
      </c>
      <c r="F102" t="s">
        <v>1274</v>
      </c>
      <c r="G102" t="s">
        <v>138</v>
      </c>
      <c r="H102" t="s">
        <v>479</v>
      </c>
    </row>
    <row r="103" spans="1:8" x14ac:dyDescent="0.2">
      <c r="A103" t="s">
        <v>284</v>
      </c>
      <c r="B103" t="s">
        <v>283</v>
      </c>
      <c r="C103" t="s">
        <v>285</v>
      </c>
      <c r="D103" t="s">
        <v>432</v>
      </c>
      <c r="E103">
        <v>1</v>
      </c>
      <c r="F103" t="s">
        <v>1274</v>
      </c>
      <c r="G103" t="s">
        <v>138</v>
      </c>
      <c r="H103" t="s">
        <v>479</v>
      </c>
    </row>
    <row r="104" spans="1:8" x14ac:dyDescent="0.2">
      <c r="A104" t="s">
        <v>1268</v>
      </c>
      <c r="B104" t="s">
        <v>259</v>
      </c>
      <c r="C104" t="s">
        <v>260</v>
      </c>
      <c r="D104" t="s">
        <v>426</v>
      </c>
      <c r="E104">
        <v>4</v>
      </c>
      <c r="F104" t="s">
        <v>1278</v>
      </c>
      <c r="G104" t="s">
        <v>138</v>
      </c>
      <c r="H104" t="s">
        <v>479</v>
      </c>
    </row>
    <row r="105" spans="1:8" x14ac:dyDescent="0.2">
      <c r="A105" t="s">
        <v>277</v>
      </c>
      <c r="B105" t="s">
        <v>259</v>
      </c>
      <c r="C105" t="s">
        <v>260</v>
      </c>
      <c r="D105" t="s">
        <v>426</v>
      </c>
      <c r="E105">
        <v>4</v>
      </c>
      <c r="F105" t="s">
        <v>1278</v>
      </c>
      <c r="G105" t="s">
        <v>138</v>
      </c>
      <c r="H105" t="s">
        <v>479</v>
      </c>
    </row>
    <row r="106" spans="1:8" x14ac:dyDescent="0.2">
      <c r="A106" t="s">
        <v>332</v>
      </c>
      <c r="B106" t="s">
        <v>259</v>
      </c>
      <c r="C106" t="s">
        <v>260</v>
      </c>
      <c r="D106" t="s">
        <v>426</v>
      </c>
      <c r="E106">
        <v>4</v>
      </c>
      <c r="F106" t="s">
        <v>1278</v>
      </c>
      <c r="G106" t="s">
        <v>138</v>
      </c>
      <c r="H106" t="s">
        <v>479</v>
      </c>
    </row>
    <row r="107" spans="1:8" x14ac:dyDescent="0.2">
      <c r="A107" t="s">
        <v>280</v>
      </c>
      <c r="B107" t="s">
        <v>259</v>
      </c>
      <c r="C107" t="s">
        <v>260</v>
      </c>
      <c r="D107" t="s">
        <v>426</v>
      </c>
      <c r="E107">
        <v>4</v>
      </c>
      <c r="F107" t="s">
        <v>1278</v>
      </c>
      <c r="G107" t="s">
        <v>138</v>
      </c>
      <c r="H107" t="s">
        <v>479</v>
      </c>
    </row>
    <row r="108" spans="1:8" x14ac:dyDescent="0.2">
      <c r="A108" t="s">
        <v>280</v>
      </c>
      <c r="B108" t="s">
        <v>259</v>
      </c>
      <c r="C108" t="s">
        <v>405</v>
      </c>
      <c r="D108" t="s">
        <v>472</v>
      </c>
      <c r="E108">
        <v>1</v>
      </c>
      <c r="F108" t="s">
        <v>1274</v>
      </c>
      <c r="G108" t="s">
        <v>138</v>
      </c>
      <c r="H108" t="s">
        <v>479</v>
      </c>
    </row>
    <row r="109" spans="1:8" x14ac:dyDescent="0.2">
      <c r="A109" t="s">
        <v>280</v>
      </c>
      <c r="B109" t="s">
        <v>259</v>
      </c>
      <c r="C109" t="s">
        <v>281</v>
      </c>
      <c r="D109" t="s">
        <v>442</v>
      </c>
      <c r="E109">
        <v>4</v>
      </c>
      <c r="F109" t="s">
        <v>1278</v>
      </c>
      <c r="G109" t="s">
        <v>138</v>
      </c>
      <c r="H109" t="s">
        <v>479</v>
      </c>
    </row>
    <row r="110" spans="1:8" x14ac:dyDescent="0.2">
      <c r="A110" t="s">
        <v>280</v>
      </c>
      <c r="B110" t="s">
        <v>259</v>
      </c>
      <c r="C110" t="s">
        <v>281</v>
      </c>
      <c r="D110" t="s">
        <v>442</v>
      </c>
      <c r="E110">
        <v>4</v>
      </c>
      <c r="F110" t="s">
        <v>1278</v>
      </c>
      <c r="G110" t="s">
        <v>138</v>
      </c>
      <c r="H110" t="s">
        <v>479</v>
      </c>
    </row>
    <row r="111" spans="1:8" x14ac:dyDescent="0.2">
      <c r="A111" t="s">
        <v>280</v>
      </c>
      <c r="B111" t="s">
        <v>259</v>
      </c>
      <c r="C111" t="s">
        <v>281</v>
      </c>
      <c r="D111" t="s">
        <v>442</v>
      </c>
      <c r="E111">
        <v>4</v>
      </c>
      <c r="F111" t="s">
        <v>1278</v>
      </c>
      <c r="G111" t="s">
        <v>138</v>
      </c>
      <c r="H111" t="s">
        <v>479</v>
      </c>
    </row>
    <row r="112" spans="1:8" x14ac:dyDescent="0.2">
      <c r="A112" t="s">
        <v>1271</v>
      </c>
      <c r="B112" t="s">
        <v>259</v>
      </c>
      <c r="C112" t="s">
        <v>281</v>
      </c>
      <c r="D112" t="s">
        <v>442</v>
      </c>
      <c r="E112">
        <v>4</v>
      </c>
      <c r="F112" t="s">
        <v>1278</v>
      </c>
      <c r="G112" t="s">
        <v>138</v>
      </c>
      <c r="H112" t="s">
        <v>479</v>
      </c>
    </row>
    <row r="113" spans="1:8" x14ac:dyDescent="0.2">
      <c r="A113" t="s">
        <v>1266</v>
      </c>
      <c r="B113" t="s">
        <v>254</v>
      </c>
      <c r="C113" t="s">
        <v>255</v>
      </c>
      <c r="E113">
        <v>1</v>
      </c>
      <c r="F113" t="s">
        <v>1274</v>
      </c>
      <c r="G113" t="s">
        <v>138</v>
      </c>
      <c r="H113" t="s">
        <v>479</v>
      </c>
    </row>
    <row r="114" spans="1:8" x14ac:dyDescent="0.2">
      <c r="A114" t="s">
        <v>784</v>
      </c>
      <c r="B114" t="s">
        <v>257</v>
      </c>
      <c r="C114" t="s">
        <v>258</v>
      </c>
      <c r="D114" t="s">
        <v>425</v>
      </c>
      <c r="E114">
        <v>1</v>
      </c>
      <c r="F114" t="s">
        <v>1274</v>
      </c>
      <c r="G114" t="s">
        <v>138</v>
      </c>
      <c r="H114" t="s">
        <v>479</v>
      </c>
    </row>
    <row r="115" spans="1:8" x14ac:dyDescent="0.2">
      <c r="A115" t="s">
        <v>351</v>
      </c>
      <c r="B115" t="s">
        <v>350</v>
      </c>
      <c r="C115" t="s">
        <v>352</v>
      </c>
      <c r="D115" t="s">
        <v>457</v>
      </c>
      <c r="E115">
        <v>1</v>
      </c>
      <c r="F115" t="s">
        <v>1274</v>
      </c>
      <c r="G115" t="s">
        <v>138</v>
      </c>
      <c r="H115" t="s">
        <v>479</v>
      </c>
    </row>
    <row r="116" spans="1:8" x14ac:dyDescent="0.2">
      <c r="A116" t="s">
        <v>272</v>
      </c>
      <c r="B116" t="s">
        <v>271</v>
      </c>
      <c r="C116" t="s">
        <v>273</v>
      </c>
      <c r="D116" t="s">
        <v>430</v>
      </c>
      <c r="E116">
        <v>1</v>
      </c>
      <c r="F116" t="s">
        <v>1274</v>
      </c>
      <c r="G116" t="s">
        <v>138</v>
      </c>
      <c r="H116" t="s">
        <v>479</v>
      </c>
    </row>
    <row r="117" spans="1:8" x14ac:dyDescent="0.2">
      <c r="A117" t="s">
        <v>275</v>
      </c>
      <c r="B117" t="s">
        <v>274</v>
      </c>
      <c r="C117" t="s">
        <v>276</v>
      </c>
      <c r="D117" t="s">
        <v>431</v>
      </c>
      <c r="E117">
        <v>1</v>
      </c>
      <c r="F117" t="s">
        <v>1274</v>
      </c>
      <c r="G117" t="s">
        <v>138</v>
      </c>
      <c r="H117" t="s">
        <v>479</v>
      </c>
    </row>
    <row r="118" spans="1:8" x14ac:dyDescent="0.2">
      <c r="A118" t="s">
        <v>385</v>
      </c>
      <c r="B118" t="s">
        <v>384</v>
      </c>
      <c r="C118" t="s">
        <v>386</v>
      </c>
      <c r="D118" t="s">
        <v>468</v>
      </c>
      <c r="E118">
        <v>1</v>
      </c>
      <c r="F118" t="s">
        <v>1274</v>
      </c>
      <c r="G118" t="s">
        <v>138</v>
      </c>
      <c r="H118" t="s">
        <v>479</v>
      </c>
    </row>
    <row r="119" spans="1:8" x14ac:dyDescent="0.2">
      <c r="A119" t="s">
        <v>296</v>
      </c>
      <c r="B119" t="s">
        <v>295</v>
      </c>
      <c r="C119" t="s">
        <v>297</v>
      </c>
      <c r="D119" t="s">
        <v>435</v>
      </c>
      <c r="E119">
        <v>2</v>
      </c>
      <c r="F119" t="s">
        <v>1276</v>
      </c>
      <c r="G119" t="s">
        <v>138</v>
      </c>
      <c r="H119" t="s">
        <v>479</v>
      </c>
    </row>
    <row r="120" spans="1:8" x14ac:dyDescent="0.2">
      <c r="A120" t="s">
        <v>400</v>
      </c>
      <c r="B120" t="s">
        <v>295</v>
      </c>
      <c r="C120" t="s">
        <v>297</v>
      </c>
      <c r="D120" t="s">
        <v>435</v>
      </c>
      <c r="E120">
        <v>2</v>
      </c>
      <c r="F120" t="s">
        <v>1276</v>
      </c>
      <c r="G120" t="s">
        <v>138</v>
      </c>
      <c r="H120" t="s">
        <v>479</v>
      </c>
    </row>
    <row r="121" spans="1:8" x14ac:dyDescent="0.2">
      <c r="A121" t="s">
        <v>305</v>
      </c>
      <c r="B121" t="s">
        <v>304</v>
      </c>
      <c r="C121" t="s">
        <v>306</v>
      </c>
      <c r="D121" t="s">
        <v>445</v>
      </c>
      <c r="E121">
        <v>1</v>
      </c>
      <c r="F121" t="s">
        <v>1274</v>
      </c>
      <c r="G121" t="s">
        <v>138</v>
      </c>
      <c r="H121" t="s">
        <v>479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All-Positive</vt:lpstr>
      <vt:lpstr>Positive-rates</vt:lpstr>
      <vt:lpstr>All-Carrier</vt:lpstr>
      <vt:lpstr>BabySeq Positives</vt:lpstr>
      <vt:lpstr>EarlyCheck Positives</vt:lpstr>
      <vt:lpstr>Guardian Positives</vt:lpstr>
      <vt:lpstr>BabyDetect Positives</vt:lpstr>
      <vt:lpstr>BabyScreen+ Positives</vt:lpstr>
      <vt:lpstr>BabySeq Carriers</vt:lpstr>
      <vt:lpstr>EarlyCheck 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 Xinmeng</dc:creator>
  <cp:lastModifiedBy>Liao Xinmeng</cp:lastModifiedBy>
  <dcterms:created xsi:type="dcterms:W3CDTF">2025-08-04T10:58:45Z</dcterms:created>
  <dcterms:modified xsi:type="dcterms:W3CDTF">2026-02-16T12:18:06Z</dcterms:modified>
</cp:coreProperties>
</file>